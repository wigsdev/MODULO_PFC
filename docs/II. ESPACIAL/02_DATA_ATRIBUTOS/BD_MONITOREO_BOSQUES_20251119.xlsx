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d.docs.live.net/6e2dd593f2c2bc76/MAPSITE/"/>
    </mc:Choice>
  </mc:AlternateContent>
  <xr:revisionPtr revIDLastSave="2" documentId="8_{2C50B7DF-C331-4724-ADBF-4B4D59BA18BC}" xr6:coauthVersionLast="47" xr6:coauthVersionMax="47" xr10:uidLastSave="{E49D011B-25A3-43A1-A18D-06F2E234D5B5}"/>
  <bookViews>
    <workbookView xWindow="-120" yWindow="-120" windowWidth="20730" windowHeight="11040" xr2:uid="{CF49928B-4DD2-4A3C-B64C-7C656331847A}"/>
  </bookViews>
  <sheets>
    <sheet name="HISTORICO_REGIONAL" sheetId="1" r:id="rId1"/>
  </sheets>
  <definedNames>
    <definedName name="_xlnm._FilterDatabase" localSheetId="0" hidden="1">HISTORICO_REGIONAL!$A$1:$F$1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</calcChain>
</file>

<file path=xl/sharedStrings.xml><?xml version="1.0" encoding="utf-8"?>
<sst xmlns="http://schemas.openxmlformats.org/spreadsheetml/2006/main" count="31" uniqueCount="28">
  <si>
    <t>REGION</t>
  </si>
  <si>
    <t>SUPERFICIE BOSQUE 2024 (Ha)</t>
  </si>
  <si>
    <t>PÉRDIDA 2023 (Ha)</t>
  </si>
  <si>
    <t>PÉRDIDA 2024 (Ha)</t>
  </si>
  <si>
    <t>VARIACIÓN PÉRDIDA (%)</t>
  </si>
  <si>
    <t>TENDENCIA</t>
  </si>
  <si>
    <t>MADRE DE DIOS</t>
  </si>
  <si>
    <t>🔴 Aumento Crítico</t>
  </si>
  <si>
    <t>SAN MARTÍN</t>
  </si>
  <si>
    <t>🟠 Ligero Aumento</t>
  </si>
  <si>
    <t>HUÁNUCO</t>
  </si>
  <si>
    <t>🟢 Reducción Notable</t>
  </si>
  <si>
    <t>JUNÍN</t>
  </si>
  <si>
    <t>PASCO</t>
  </si>
  <si>
    <t>🟢 Reducción</t>
  </si>
  <si>
    <t>CAJAMARCA</t>
  </si>
  <si>
    <t>🔴 Aumento Severo</t>
  </si>
  <si>
    <t>ÁNCASH</t>
  </si>
  <si>
    <t>No Aplica</t>
  </si>
  <si>
    <t>-</t>
  </si>
  <si>
    <t>(Bosque no amazónico)</t>
  </si>
  <si>
    <t>Fuente:</t>
  </si>
  <si>
    <t>Limites Politicos, INEI - 2024</t>
  </si>
  <si>
    <t>Mapa de Bosque/No Bosque año 2000 y Mapa de pérdida de los Bosques Húmedos Amazónicos del Perú 2001 – 2024, MINAM (PROGRAMA BOSQUES) - MIDAGRI (SERFOR)</t>
  </si>
  <si>
    <t>Información generada de manera conjunta, por el MINAM a través del PNCBMCC, el MIDAGRI a través de SERFOR</t>
  </si>
  <si>
    <r>
      <t>1. Alerta en Madre de Dios:</t>
    </r>
    <r>
      <rPr>
        <sz val="11"/>
        <color theme="1"/>
        <rFont val="Aptos Narrow"/>
        <family val="2"/>
        <scheme val="minor"/>
      </rPr>
      <t xml:space="preserve"> La deforestación se ha disparado un </t>
    </r>
    <r>
      <rPr>
        <b/>
        <sz val="11"/>
        <color theme="1"/>
        <rFont val="Aptos Narrow"/>
        <family val="2"/>
        <scheme val="minor"/>
      </rPr>
      <t>67%</t>
    </r>
    <r>
      <rPr>
        <sz val="11"/>
        <color theme="1"/>
        <rFont val="Aptos Narrow"/>
        <family val="2"/>
        <scheme val="minor"/>
      </rPr>
      <t xml:space="preserve"> en el último año. Esto es un indicador de riesgo altísimo para nuevas inversiones (posible minería ilegal o invasiones).</t>
    </r>
  </si>
  <si>
    <r>
      <t>2. Éxito en la Selva Central: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Junín, Pasco y Huánuco</t>
    </r>
    <r>
      <rPr>
        <sz val="11"/>
        <color theme="1"/>
        <rFont val="Aptos Narrow"/>
        <family val="2"/>
        <scheme val="minor"/>
      </rPr>
      <t xml:space="preserve"> han logrado reducciones significativas (-20% a -33%). Esto las posiciona como regiones más estables y seguras para la inversión forestal formal en este momento.</t>
    </r>
  </si>
  <si>
    <r>
      <t>3. Cajamarca:</t>
    </r>
    <r>
      <rPr>
        <sz val="11"/>
        <color theme="1"/>
        <rFont val="Aptos Narrow"/>
        <family val="2"/>
        <scheme val="minor"/>
      </rPr>
      <t xml:space="preserve"> Aunque el volumen es bajo (3,300 ha), el salto porcentual (+300%) indica un foco de deforestación emergente que debe vigilarse.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</si>
</sst>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i/>
      <sz val="11"/>
      <color rgb="FF1B1C1D"/>
      <name val="Arial"/>
      <family val="2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4" fillId="0" borderId="1" xfId="0" applyFont="1" applyBorder="1" applyAlignment="1">
      <alignment horizontal="left" vertical="center" wrapText="1" indent="1" readingOrder="1"/>
    </xf>
    <xf numFmtId="4" fontId="3" fillId="0" borderId="1" xfId="0" applyNumberFormat="1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right" vertical="center" wrapText="1" indent="1" readingOrder="1"/>
    </xf>
    <xf numFmtId="0" fontId="5" fillId="0" borderId="1" xfId="0" applyFont="1" applyBorder="1" applyAlignment="1">
      <alignment horizontal="right" vertical="center" wrapText="1" indent="1" readingOrder="1"/>
    </xf>
    <xf numFmtId="10" fontId="2" fillId="0" borderId="2" xfId="1" applyNumberFormat="1" applyFont="1" applyBorder="1"/>
    <xf numFmtId="0" fontId="4" fillId="0" borderId="1" xfId="0" applyFont="1" applyBorder="1" applyAlignment="1">
      <alignment horizontal="left" vertical="center" wrapText="1" readingOrder="1"/>
    </xf>
    <xf numFmtId="0" fontId="7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 inden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D07E-D878-445F-B6BD-F60291355256}">
  <dimension ref="A1:F17"/>
  <sheetViews>
    <sheetView tabSelected="1" workbookViewId="0">
      <selection activeCell="D10" sqref="D10"/>
    </sheetView>
  </sheetViews>
  <sheetFormatPr defaultColWidth="30" defaultRowHeight="15"/>
  <cols>
    <col min="1" max="1" width="19.5703125" bestFit="1" customWidth="1"/>
    <col min="2" max="2" width="37.85546875" bestFit="1" customWidth="1"/>
    <col min="3" max="3" width="24.140625" bestFit="1" customWidth="1"/>
    <col min="4" max="4" width="23.140625" customWidth="1"/>
    <col min="5" max="5" width="17.85546875" bestFit="1" customWidth="1"/>
    <col min="6" max="6" width="24.85546875" bestFit="1" customWidth="1"/>
  </cols>
  <sheetData>
    <row r="1" spans="1:6" ht="30.75" thickBot="1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Bot="1">
      <c r="A2" s="6" t="s">
        <v>6</v>
      </c>
      <c r="B2" s="2">
        <v>7763535.54</v>
      </c>
      <c r="C2" s="2">
        <v>18778.59</v>
      </c>
      <c r="D2" s="2">
        <v>31382.01</v>
      </c>
      <c r="E2" s="5">
        <f>(D2-C2)/C2</f>
        <v>0.67115901673128808</v>
      </c>
      <c r="F2" s="3" t="s">
        <v>7</v>
      </c>
    </row>
    <row r="3" spans="1:6" ht="15.75" thickBot="1">
      <c r="A3" s="6" t="s">
        <v>8</v>
      </c>
      <c r="B3" s="2">
        <v>3248576.91</v>
      </c>
      <c r="C3" s="2">
        <v>16824.599999999999</v>
      </c>
      <c r="D3" s="2">
        <v>17183.25</v>
      </c>
      <c r="E3" s="5">
        <f t="shared" ref="E3:E7" si="0">(D3-C3)/C3</f>
        <v>2.1317000106986287E-2</v>
      </c>
      <c r="F3" s="3" t="s">
        <v>9</v>
      </c>
    </row>
    <row r="4" spans="1:6" ht="15.75" thickBot="1">
      <c r="A4" s="6" t="s">
        <v>10</v>
      </c>
      <c r="B4" s="2">
        <v>1451891.34</v>
      </c>
      <c r="C4" s="2">
        <v>17225.099999999999</v>
      </c>
      <c r="D4" s="2">
        <v>13362.93</v>
      </c>
      <c r="E4" s="5">
        <f t="shared" si="0"/>
        <v>-0.22421756622603053</v>
      </c>
      <c r="F4" s="3" t="s">
        <v>11</v>
      </c>
    </row>
    <row r="5" spans="1:6" ht="15.75" thickBot="1">
      <c r="A5" s="6" t="s">
        <v>12</v>
      </c>
      <c r="B5" s="2">
        <v>1772923.41</v>
      </c>
      <c r="C5" s="2">
        <v>11826.36</v>
      </c>
      <c r="D5" s="2">
        <v>7909.83</v>
      </c>
      <c r="E5" s="5">
        <f t="shared" si="0"/>
        <v>-0.33116952299777791</v>
      </c>
      <c r="F5" s="3" t="s">
        <v>11</v>
      </c>
    </row>
    <row r="6" spans="1:6" ht="15.75" thickBot="1">
      <c r="A6" s="6" t="s">
        <v>13</v>
      </c>
      <c r="B6" s="2">
        <v>1354764.06</v>
      </c>
      <c r="C6" s="2">
        <v>4560.3900000000003</v>
      </c>
      <c r="D6" s="2">
        <v>3657.06</v>
      </c>
      <c r="E6" s="5">
        <f t="shared" si="0"/>
        <v>-0.19808174300882167</v>
      </c>
      <c r="F6" s="3" t="s">
        <v>14</v>
      </c>
    </row>
    <row r="7" spans="1:6" ht="15.75" thickBot="1">
      <c r="A7" s="6" t="s">
        <v>15</v>
      </c>
      <c r="B7" s="2">
        <v>339512.58</v>
      </c>
      <c r="C7" s="3">
        <v>840.96</v>
      </c>
      <c r="D7" s="2">
        <v>3378.42</v>
      </c>
      <c r="E7" s="5">
        <f t="shared" si="0"/>
        <v>3.0173373287671232</v>
      </c>
      <c r="F7" s="3" t="s">
        <v>16</v>
      </c>
    </row>
    <row r="8" spans="1:6" ht="15.75" thickBot="1">
      <c r="A8" s="6" t="s">
        <v>17</v>
      </c>
      <c r="B8" s="4" t="s">
        <v>18</v>
      </c>
      <c r="C8" s="4" t="s">
        <v>18</v>
      </c>
      <c r="D8" s="4" t="s">
        <v>18</v>
      </c>
      <c r="E8" s="3" t="s">
        <v>19</v>
      </c>
      <c r="F8" s="3" t="s">
        <v>20</v>
      </c>
    </row>
    <row r="10" spans="1:6">
      <c r="A10" s="7" t="s">
        <v>21</v>
      </c>
    </row>
    <row r="11" spans="1:6">
      <c r="A11" s="8" t="s">
        <v>22</v>
      </c>
    </row>
    <row r="12" spans="1:6">
      <c r="A12" s="9" t="s">
        <v>23</v>
      </c>
    </row>
    <row r="13" spans="1:6">
      <c r="A13" s="9" t="s">
        <v>24</v>
      </c>
    </row>
    <row r="15" spans="1:6">
      <c r="A15" s="10" t="s">
        <v>25</v>
      </c>
    </row>
    <row r="16" spans="1:6">
      <c r="A16" s="10" t="s">
        <v>26</v>
      </c>
    </row>
    <row r="17" spans="1:1">
      <c r="A17" s="10" t="s">
        <v>27</v>
      </c>
    </row>
  </sheetData>
  <autoFilter ref="A1:F1" xr:uid="{977ED07E-D878-445F-B6BD-F60291355256}">
    <sortState xmlns:xlrd2="http://schemas.microsoft.com/office/spreadsheetml/2017/richdata2" ref="A2:F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Wilmer Gulcochía Sánchez</dc:creator>
  <cp:keywords/>
  <dc:description/>
  <cp:lastModifiedBy>Wilmer Gulcochía Sánchez</cp:lastModifiedBy>
  <cp:revision/>
  <dcterms:created xsi:type="dcterms:W3CDTF">2025-11-20T08:50:09Z</dcterms:created>
  <dcterms:modified xsi:type="dcterms:W3CDTF">2025-12-11T22:33:13Z</dcterms:modified>
  <cp:category/>
  <cp:contentStatus/>
</cp:coreProperties>
</file>