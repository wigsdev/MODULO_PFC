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d.docs.live.net/6E2DD593F2C2BC76/MAPSITE/II. ESPACIAL/02_DATA_ATRIBUTOS/"/>
    </mc:Choice>
  </mc:AlternateContent>
  <xr:revisionPtr revIDLastSave="28" documentId="8_{8E5970B6-E38E-46D4-90D5-54A602099524}" xr6:coauthVersionLast="47" xr6:coauthVersionMax="47" xr10:uidLastSave="{35C9CD3A-A3CD-4DB7-AB2A-8AA372D6E841}"/>
  <bookViews>
    <workbookView xWindow="-120" yWindow="-120" windowWidth="20730" windowHeight="11040" firstSheet="3" activeTab="3" xr2:uid="{781F3DA7-0D19-456A-9694-5BFC41D3078E}"/>
  </bookViews>
  <sheets>
    <sheet name="DECOMISOS_2023" sheetId="1" r:id="rId1"/>
    <sheet name="TOTAL MA + MR" sheetId="4" r:id="rId2"/>
    <sheet name="DECOMISOS_2024" sheetId="2" r:id="rId3"/>
    <sheet name="DASHBOARD_3.2"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A9" i="4"/>
</calcChain>
</file>

<file path=xl/sharedStrings.xml><?xml version="1.0" encoding="utf-8"?>
<sst xmlns="http://schemas.openxmlformats.org/spreadsheetml/2006/main" count="47" uniqueCount="27">
  <si>
    <t>REGIÓN</t>
  </si>
  <si>
    <t>MADERA ASERRADA (m3)</t>
  </si>
  <si>
    <t>MADERA ROLLIZA (m3)</t>
  </si>
  <si>
    <t>CARBÓN VEGETAL (kg)</t>
  </si>
  <si>
    <t>OBSERVACIÓN</t>
  </si>
  <si>
    <t>SAN MARTÍN</t>
  </si>
  <si>
    <t>Alta incidencia en carbón</t>
  </si>
  <si>
    <t>JUNÍN</t>
  </si>
  <si>
    <t>Tráfico maderable mixto</t>
  </si>
  <si>
    <t>PASCO</t>
  </si>
  <si>
    <t>Presión sobre madera rolliza</t>
  </si>
  <si>
    <t>MADRE DE DIOS</t>
  </si>
  <si>
    <t>0 / N.D.</t>
  </si>
  <si>
    <t>Incidencia en carbón</t>
  </si>
  <si>
    <t>ÁNCASH</t>
  </si>
  <si>
    <t>Tráfico hormiga / Leña</t>
  </si>
  <si>
    <t>CAJAMARCA</t>
  </si>
  <si>
    <t>Baja incidencia reportada</t>
  </si>
  <si>
    <t>HUÁNUCO</t>
  </si>
  <si>
    <t>Sin dato en tabla resumen</t>
  </si>
  <si>
    <t>Sin dato</t>
  </si>
  <si>
    <t>(Verificar en reporte regional)</t>
  </si>
  <si>
    <r>
      <t>Nota:</t>
    </r>
    <r>
      <rPr>
        <sz val="11"/>
        <color theme="1"/>
        <rFont val="Aptos Narrow"/>
        <family val="2"/>
        <scheme val="minor"/>
      </rPr>
      <t xml:space="preserve"> Huánuco reporta inicio de procesos sancionadores (PAS) en la Tabla 18, pero no figura con volumen decomisado específico en la tabla resumen nacional (Tabla 19) del Anuario 2023. Se consigna como "Sin Reporte" para mantener la fidelidad a la fuente.</t>
    </r>
  </si>
  <si>
    <t>CARBÓN (kg)</t>
  </si>
  <si>
    <t>Sin Reporte</t>
  </si>
  <si>
    <r>
      <t>Fuente:</t>
    </r>
    <r>
      <rPr>
        <sz val="11"/>
        <color theme="1"/>
        <rFont val="Aptos Narrow"/>
        <family val="2"/>
        <scheme val="minor"/>
      </rPr>
      <t xml:space="preserve"> Anuario 2024 - Tablas 18-19 (Productos Decomisados).</t>
    </r>
  </si>
  <si>
    <r>
      <t>Análisis de los Resultados 2024:</t>
    </r>
    <r>
      <rPr>
        <sz val="11"/>
        <color theme="1"/>
        <rFont val="Aptos Narrow"/>
        <family val="2"/>
        <scheme val="minor"/>
      </rPr>
      <t xml:space="preserve"> </t>
    </r>
    <r>
      <rPr>
        <i/>
        <sz val="11"/>
        <color theme="1"/>
        <rFont val="Aptos Narrow"/>
        <family val="2"/>
        <scheme val="minor"/>
      </rPr>
      <t xml:space="preserve">"El análisis estadístico de los decomisos (ver Gráfico 1) revela que la región </t>
    </r>
    <r>
      <rPr>
        <b/>
        <i/>
        <sz val="11"/>
        <color theme="1"/>
        <rFont val="Aptos Narrow"/>
        <family val="2"/>
        <scheme val="minor"/>
      </rPr>
      <t>San Martín</t>
    </r>
    <r>
      <rPr>
        <i/>
        <sz val="11"/>
        <color theme="1"/>
        <rFont val="Aptos Narrow"/>
        <family val="2"/>
        <scheme val="minor"/>
      </rPr>
      <t xml:space="preserve"> concentra la mayor presión de tráfico de productos con valor agregado (Madera Aserrada), lo que sugiere la necesidad de reforzar el control en centros de transformación y rutas de salida. Por el contrario, en </t>
    </r>
    <r>
      <rPr>
        <b/>
        <i/>
        <sz val="11"/>
        <color theme="1"/>
        <rFont val="Aptos Narrow"/>
        <family val="2"/>
        <scheme val="minor"/>
      </rPr>
      <t>Pasco y Junín</t>
    </r>
    <r>
      <rPr>
        <i/>
        <sz val="11"/>
        <color theme="1"/>
        <rFont val="Aptos Narrow"/>
        <family val="2"/>
        <scheme val="minor"/>
      </rPr>
      <t xml:space="preserve"> (ver Gráfico 2), la incidencia de decomisos de Madera Rolliza indica una presión extractiva directa sobre el bosque natural."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</si>
</sst>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i/>
      <sz val="11"/>
      <color rgb="FF1F1F1F"/>
      <name val="Arial"/>
      <family val="2"/>
    </font>
    <font>
      <i/>
      <sz val="11"/>
      <color theme="1"/>
      <name val="Aptos Narrow"/>
      <family val="2"/>
      <scheme val="minor"/>
    </font>
    <font>
      <b/>
      <i/>
      <sz val="11"/>
      <color theme="1"/>
      <name val="Aptos Narrow"/>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
    <xf numFmtId="0" fontId="0" fillId="0" borderId="0" xfId="0"/>
    <xf numFmtId="0" fontId="3" fillId="0" borderId="1" xfId="0" applyFont="1" applyBorder="1" applyAlignment="1">
      <alignment horizontal="right" vertical="center" wrapText="1" indent="1" readingOrder="1"/>
    </xf>
    <xf numFmtId="0" fontId="4" fillId="0" borderId="1" xfId="0" applyFont="1" applyBorder="1" applyAlignment="1">
      <alignment horizontal="right" vertical="center" wrapText="1" indent="1" readingOrder="1"/>
    </xf>
    <xf numFmtId="0" fontId="3" fillId="0" borderId="1" xfId="0" applyFont="1" applyBorder="1" applyAlignment="1">
      <alignment horizontal="center" vertical="center" wrapText="1" readingOrder="1"/>
    </xf>
    <xf numFmtId="0" fontId="0" fillId="0" borderId="0" xfId="0" applyAlignment="1">
      <alignment horizontal="center"/>
    </xf>
    <xf numFmtId="0" fontId="3"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right" vertical="center" wrapText="1" readingOrder="1"/>
    </xf>
    <xf numFmtId="4" fontId="2" fillId="0" borderId="1" xfId="0" applyNumberFormat="1" applyFont="1" applyBorder="1" applyAlignment="1">
      <alignment horizontal="right" vertical="center" wrapText="1" readingOrder="1"/>
    </xf>
    <xf numFmtId="0" fontId="4" fillId="0" borderId="1" xfId="0" applyFont="1" applyBorder="1" applyAlignment="1">
      <alignment horizontal="right" vertical="center" wrapText="1" readingOrder="1"/>
    </xf>
    <xf numFmtId="0" fontId="5" fillId="0" borderId="0" xfId="0" applyFont="1"/>
    <xf numFmtId="3" fontId="3" fillId="0" borderId="1" xfId="0" applyNumberFormat="1" applyFont="1" applyBorder="1" applyAlignment="1">
      <alignment horizontal="right" vertical="center" wrapText="1" indent="1" readingOrder="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Volumen</a:t>
            </a:r>
            <a:r>
              <a:rPr lang="es-ES" baseline="0"/>
              <a:t> de Madera Aserrada Decomisada por Region 2024</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DECOMISOS_2024!$B$1</c:f>
              <c:strCache>
                <c:ptCount val="1"/>
                <c:pt idx="0">
                  <c:v>MADERA ASERRADA (m3)</c:v>
                </c:pt>
              </c:strCache>
            </c:strRef>
          </c:tx>
          <c:spPr>
            <a:solidFill>
              <a:schemeClr val="accent1"/>
            </a:solidFill>
            <a:ln>
              <a:noFill/>
            </a:ln>
            <a:effectLst/>
          </c:spPr>
          <c:invertIfNegative val="0"/>
          <c:cat>
            <c:strRef>
              <c:f>DECOMISOS_2024!$A$2:$A$8</c:f>
              <c:strCache>
                <c:ptCount val="7"/>
                <c:pt idx="0">
                  <c:v>SAN MARTÍN</c:v>
                </c:pt>
                <c:pt idx="1">
                  <c:v>JUNÍN</c:v>
                </c:pt>
                <c:pt idx="2">
                  <c:v>PASCO</c:v>
                </c:pt>
                <c:pt idx="3">
                  <c:v>MADRE DE DIOS</c:v>
                </c:pt>
                <c:pt idx="4">
                  <c:v>ÁNCASH</c:v>
                </c:pt>
                <c:pt idx="5">
                  <c:v>HUÁNUCO</c:v>
                </c:pt>
                <c:pt idx="6">
                  <c:v>CAJAMARCA</c:v>
                </c:pt>
              </c:strCache>
            </c:strRef>
          </c:cat>
          <c:val>
            <c:numRef>
              <c:f>DECOMISOS_2024!$B$2:$B$8</c:f>
              <c:numCache>
                <c:formatCode>General</c:formatCode>
                <c:ptCount val="7"/>
                <c:pt idx="0">
                  <c:v>480.25</c:v>
                </c:pt>
                <c:pt idx="1">
                  <c:v>165.3</c:v>
                </c:pt>
                <c:pt idx="2">
                  <c:v>68.150000000000006</c:v>
                </c:pt>
                <c:pt idx="3">
                  <c:v>0</c:v>
                </c:pt>
                <c:pt idx="4">
                  <c:v>2.1</c:v>
                </c:pt>
                <c:pt idx="5">
                  <c:v>0</c:v>
                </c:pt>
                <c:pt idx="6">
                  <c:v>0</c:v>
                </c:pt>
              </c:numCache>
            </c:numRef>
          </c:val>
          <c:extLst>
            <c:ext xmlns:c16="http://schemas.microsoft.com/office/drawing/2014/chart" uri="{C3380CC4-5D6E-409C-BE32-E72D297353CC}">
              <c16:uniqueId val="{00000000-E97A-46B2-932A-F2267A229EBE}"/>
            </c:ext>
          </c:extLst>
        </c:ser>
        <c:dLbls>
          <c:showLegendKey val="0"/>
          <c:showVal val="0"/>
          <c:showCatName val="0"/>
          <c:showSerName val="0"/>
          <c:showPercent val="0"/>
          <c:showBubbleSize val="0"/>
        </c:dLbls>
        <c:gapWidth val="219"/>
        <c:overlap val="-27"/>
        <c:axId val="1645022928"/>
        <c:axId val="1645023888"/>
      </c:barChart>
      <c:catAx>
        <c:axId val="164502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45023888"/>
        <c:crosses val="autoZero"/>
        <c:auto val="1"/>
        <c:lblAlgn val="ctr"/>
        <c:lblOffset val="100"/>
        <c:noMultiLvlLbl val="0"/>
      </c:catAx>
      <c:valAx>
        <c:axId val="164502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64502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u="none" strike="noStrike" baseline="0"/>
              <a:t>Proporción de Decomisos: Madera Rolliza vs. Aserrada</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C5-48AB-AFCF-141B1BD5D9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C5-48AB-AFCF-141B1BD5D909}"/>
              </c:ext>
            </c:extLst>
          </c:dPt>
          <c:val>
            <c:numRef>
              <c:f>'TOTAL MA + MR'!$A$9:$B$9</c:f>
              <c:numCache>
                <c:formatCode>General</c:formatCode>
                <c:ptCount val="2"/>
                <c:pt idx="0">
                  <c:v>762.69</c:v>
                </c:pt>
                <c:pt idx="1">
                  <c:v>257.96000000000004</c:v>
                </c:pt>
              </c:numCache>
            </c:numRef>
          </c:val>
          <c:extLst>
            <c:ext xmlns:c16="http://schemas.microsoft.com/office/drawing/2014/chart" uri="{C3380CC4-5D6E-409C-BE32-E72D297353CC}">
              <c16:uniqueId val="{00000004-EDC5-48AB-AFCF-141B1BD5D9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14</xdr:row>
      <xdr:rowOff>76200</xdr:rowOff>
    </xdr:to>
    <xdr:graphicFrame macro="">
      <xdr:nvGraphicFramePr>
        <xdr:cNvPr id="2" name="Gráfico 1">
          <a:extLst>
            <a:ext uri="{FF2B5EF4-FFF2-40B4-BE49-F238E27FC236}">
              <a16:creationId xmlns:a16="http://schemas.microsoft.com/office/drawing/2014/main" id="{0606179F-0616-416D-9F84-11FF288FD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0</xdr:row>
      <xdr:rowOff>0</xdr:rowOff>
    </xdr:from>
    <xdr:to>
      <xdr:col>12</xdr:col>
      <xdr:colOff>161925</xdr:colOff>
      <xdr:row>14</xdr:row>
      <xdr:rowOff>76200</xdr:rowOff>
    </xdr:to>
    <xdr:graphicFrame macro="">
      <xdr:nvGraphicFramePr>
        <xdr:cNvPr id="3" name="Gráfico 2">
          <a:extLst>
            <a:ext uri="{FF2B5EF4-FFF2-40B4-BE49-F238E27FC236}">
              <a16:creationId xmlns:a16="http://schemas.microsoft.com/office/drawing/2014/main" id="{A3CD29E5-9131-45F1-83E8-254783199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AF42-A40C-4FF5-B4F2-AF672E35DE1F}">
  <dimension ref="A1:E10"/>
  <sheetViews>
    <sheetView workbookViewId="0">
      <selection activeCell="B1" sqref="B1:C8"/>
    </sheetView>
  </sheetViews>
  <sheetFormatPr defaultColWidth="42.42578125" defaultRowHeight="15"/>
  <cols>
    <col min="1" max="1" width="19.5703125" style="4" bestFit="1" customWidth="1"/>
    <col min="2" max="2" width="28.5703125" style="4" bestFit="1" customWidth="1"/>
    <col min="3" max="3" width="25.85546875" style="4" bestFit="1" customWidth="1"/>
    <col min="4" max="4" width="26.85546875" style="4" bestFit="1" customWidth="1"/>
    <col min="5" max="5" width="29.5703125" style="4" bestFit="1" customWidth="1"/>
  </cols>
  <sheetData>
    <row r="1" spans="1:5" ht="15.75" thickBot="1">
      <c r="A1" s="3" t="s">
        <v>0</v>
      </c>
      <c r="B1" s="3" t="s">
        <v>1</v>
      </c>
      <c r="C1" s="3" t="s">
        <v>2</v>
      </c>
      <c r="D1" s="3" t="s">
        <v>3</v>
      </c>
      <c r="E1" s="3" t="s">
        <v>4</v>
      </c>
    </row>
    <row r="2" spans="1:5" ht="15.75" thickBot="1">
      <c r="A2" s="5" t="s">
        <v>5</v>
      </c>
      <c r="B2" s="7">
        <v>540.12</v>
      </c>
      <c r="C2" s="7">
        <v>14.65</v>
      </c>
      <c r="D2" s="8">
        <v>10367</v>
      </c>
      <c r="E2" s="6" t="s">
        <v>6</v>
      </c>
    </row>
    <row r="3" spans="1:5" ht="15.75" thickBot="1">
      <c r="A3" s="5" t="s">
        <v>7</v>
      </c>
      <c r="B3" s="7">
        <v>148.57</v>
      </c>
      <c r="C3" s="7">
        <v>102.45</v>
      </c>
      <c r="D3" s="7">
        <v>0</v>
      </c>
      <c r="E3" s="6" t="s">
        <v>8</v>
      </c>
    </row>
    <row r="4" spans="1:5" ht="15.75" thickBot="1">
      <c r="A4" s="5" t="s">
        <v>9</v>
      </c>
      <c r="B4" s="7">
        <v>72.47</v>
      </c>
      <c r="C4" s="7">
        <v>133.26</v>
      </c>
      <c r="D4" s="7">
        <v>0</v>
      </c>
      <c r="E4" s="6" t="s">
        <v>10</v>
      </c>
    </row>
    <row r="5" spans="1:5" ht="15.75" thickBot="1">
      <c r="A5" s="5" t="s">
        <v>11</v>
      </c>
      <c r="B5" s="7" t="s">
        <v>12</v>
      </c>
      <c r="C5" s="7" t="s">
        <v>12</v>
      </c>
      <c r="D5" s="8">
        <v>3645</v>
      </c>
      <c r="E5" s="6" t="s">
        <v>13</v>
      </c>
    </row>
    <row r="6" spans="1:5" ht="15.75" thickBot="1">
      <c r="A6" s="5" t="s">
        <v>14</v>
      </c>
      <c r="B6" s="7">
        <v>1.53</v>
      </c>
      <c r="C6" s="7">
        <v>4</v>
      </c>
      <c r="D6" s="8">
        <v>1850</v>
      </c>
      <c r="E6" s="6" t="s">
        <v>15</v>
      </c>
    </row>
    <row r="7" spans="1:5" ht="15.75" thickBot="1">
      <c r="A7" s="5" t="s">
        <v>16</v>
      </c>
      <c r="B7" s="7">
        <v>0</v>
      </c>
      <c r="C7" s="7">
        <v>3.6</v>
      </c>
      <c r="D7" s="7">
        <v>0</v>
      </c>
      <c r="E7" s="6" t="s">
        <v>17</v>
      </c>
    </row>
    <row r="8" spans="1:5" ht="15.75" thickBot="1">
      <c r="A8" s="5" t="s">
        <v>18</v>
      </c>
      <c r="B8" s="9" t="s">
        <v>19</v>
      </c>
      <c r="C8" s="9" t="s">
        <v>20</v>
      </c>
      <c r="D8" s="9" t="s">
        <v>20</v>
      </c>
      <c r="E8" s="6" t="s">
        <v>21</v>
      </c>
    </row>
    <row r="10" spans="1:5">
      <c r="A10" s="10"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870C-CCFE-4E59-B0E0-F8EB2713BC96}">
  <dimension ref="A1:B9"/>
  <sheetViews>
    <sheetView workbookViewId="0">
      <selection activeCell="F22" sqref="F22"/>
    </sheetView>
  </sheetViews>
  <sheetFormatPr defaultColWidth="11.42578125" defaultRowHeight="15"/>
  <cols>
    <col min="1" max="1" width="39.7109375" customWidth="1"/>
    <col min="2" max="2" width="34.28515625" customWidth="1"/>
  </cols>
  <sheetData>
    <row r="1" spans="1:2" ht="15.75" thickBot="1">
      <c r="A1" s="3" t="s">
        <v>1</v>
      </c>
      <c r="B1" s="3" t="s">
        <v>2</v>
      </c>
    </row>
    <row r="2" spans="1:2" ht="15.75" thickBot="1">
      <c r="A2" s="7">
        <v>540.12</v>
      </c>
      <c r="B2" s="7">
        <v>14.65</v>
      </c>
    </row>
    <row r="3" spans="1:2" ht="15.75" thickBot="1">
      <c r="A3" s="7">
        <v>148.57</v>
      </c>
      <c r="B3" s="7">
        <v>102.45</v>
      </c>
    </row>
    <row r="4" spans="1:2" ht="15.75" thickBot="1">
      <c r="A4" s="7">
        <v>72.47</v>
      </c>
      <c r="B4" s="7">
        <v>133.26</v>
      </c>
    </row>
    <row r="5" spans="1:2" ht="15.75" thickBot="1">
      <c r="A5" s="7" t="s">
        <v>12</v>
      </c>
      <c r="B5" s="7" t="s">
        <v>12</v>
      </c>
    </row>
    <row r="6" spans="1:2" ht="15.75" thickBot="1">
      <c r="A6" s="7">
        <v>1.53</v>
      </c>
      <c r="B6" s="7">
        <v>4</v>
      </c>
    </row>
    <row r="7" spans="1:2" ht="15.75" thickBot="1">
      <c r="A7" s="7">
        <v>0</v>
      </c>
      <c r="B7" s="7">
        <v>3.6</v>
      </c>
    </row>
    <row r="8" spans="1:2" ht="15.75" thickBot="1">
      <c r="A8" s="9" t="s">
        <v>19</v>
      </c>
      <c r="B8" s="9" t="s">
        <v>20</v>
      </c>
    </row>
    <row r="9" spans="1:2">
      <c r="A9" s="12">
        <f>SUM(A2:A8)</f>
        <v>762.69</v>
      </c>
      <c r="B9" s="12">
        <f>SUM(B2:B8)</f>
        <v>257.96000000000004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802ED-3DAD-4680-910B-67CB0D544955}">
  <dimension ref="A1:D10"/>
  <sheetViews>
    <sheetView workbookViewId="0">
      <selection activeCell="F12" sqref="F12"/>
    </sheetView>
  </sheetViews>
  <sheetFormatPr defaultColWidth="11.42578125" defaultRowHeight="15"/>
  <cols>
    <col min="1" max="1" width="20" customWidth="1"/>
    <col min="2" max="2" width="29" customWidth="1"/>
    <col min="3" max="3" width="29.28515625" customWidth="1"/>
    <col min="4" max="4" width="48.140625" customWidth="1"/>
  </cols>
  <sheetData>
    <row r="1" spans="1:4" ht="15.75" thickBot="1">
      <c r="A1" s="1" t="s">
        <v>0</v>
      </c>
      <c r="B1" s="1" t="s">
        <v>1</v>
      </c>
      <c r="C1" s="1" t="s">
        <v>2</v>
      </c>
      <c r="D1" s="1" t="s">
        <v>23</v>
      </c>
    </row>
    <row r="2" spans="1:4" ht="15.75" thickBot="1">
      <c r="A2" s="1" t="s">
        <v>5</v>
      </c>
      <c r="B2" s="1">
        <v>480.25</v>
      </c>
      <c r="C2" s="1">
        <v>12.5</v>
      </c>
      <c r="D2" s="11">
        <v>8500</v>
      </c>
    </row>
    <row r="3" spans="1:4" ht="15.75" thickBot="1">
      <c r="A3" s="1" t="s">
        <v>7</v>
      </c>
      <c r="B3" s="1">
        <v>165.3</v>
      </c>
      <c r="C3" s="1">
        <v>98.2</v>
      </c>
      <c r="D3" s="1">
        <v>0</v>
      </c>
    </row>
    <row r="4" spans="1:4" ht="15.75" thickBot="1">
      <c r="A4" s="1" t="s">
        <v>9</v>
      </c>
      <c r="B4" s="1">
        <v>68.150000000000006</v>
      </c>
      <c r="C4" s="1">
        <v>145.80000000000001</v>
      </c>
      <c r="D4" s="1">
        <v>0</v>
      </c>
    </row>
    <row r="5" spans="1:4" ht="15.75" thickBot="1">
      <c r="A5" s="1" t="s">
        <v>11</v>
      </c>
      <c r="B5" s="1">
        <v>0</v>
      </c>
      <c r="C5" s="1">
        <v>0</v>
      </c>
      <c r="D5" s="11">
        <v>4200</v>
      </c>
    </row>
    <row r="6" spans="1:4" ht="15.75" thickBot="1">
      <c r="A6" s="1" t="s">
        <v>14</v>
      </c>
      <c r="B6" s="1">
        <v>2.1</v>
      </c>
      <c r="C6" s="1">
        <v>1.5</v>
      </c>
      <c r="D6" s="11">
        <v>1200</v>
      </c>
    </row>
    <row r="7" spans="1:4" ht="15.75" thickBot="1">
      <c r="A7" s="1" t="s">
        <v>18</v>
      </c>
      <c r="B7" s="2" t="s">
        <v>24</v>
      </c>
      <c r="C7" s="2" t="s">
        <v>24</v>
      </c>
      <c r="D7" s="2" t="s">
        <v>24</v>
      </c>
    </row>
    <row r="8" spans="1:4" ht="15.75" thickBot="1">
      <c r="A8" s="1" t="s">
        <v>16</v>
      </c>
      <c r="B8" s="1">
        <v>0</v>
      </c>
      <c r="C8" s="1">
        <v>2.8</v>
      </c>
      <c r="D8" s="1">
        <v>0</v>
      </c>
    </row>
    <row r="10" spans="1:4">
      <c r="A10" s="12"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46972-8E7F-49B5-97A2-95BA1EC39B51}">
  <dimension ref="A17"/>
  <sheetViews>
    <sheetView tabSelected="1" workbookViewId="0">
      <selection activeCell="A17" sqref="A17"/>
    </sheetView>
  </sheetViews>
  <sheetFormatPr defaultColWidth="11.42578125" defaultRowHeight="15"/>
  <sheetData>
    <row r="17" spans="1:1">
      <c r="A17" s="12" t="s">
        <v>26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Wilmer Gulcochía Sánchez</dc:creator>
  <cp:keywords/>
  <dc:description/>
  <cp:lastModifiedBy>Wilmer Gulcochía Sánchez</cp:lastModifiedBy>
  <cp:revision/>
  <dcterms:created xsi:type="dcterms:W3CDTF">2025-12-10T07:04:36Z</dcterms:created>
  <dcterms:modified xsi:type="dcterms:W3CDTF">2025-12-10T21:01:45Z</dcterms:modified>
  <cp:category/>
  <cp:contentStatus/>
</cp:coreProperties>
</file>