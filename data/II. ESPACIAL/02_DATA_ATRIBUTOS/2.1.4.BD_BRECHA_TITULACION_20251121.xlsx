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WIGUSA\Desktop\MAPSITE\PROPUESTA MAPSITE\II. ESPACIAL\02_DATA_ATRIBUTOS\"/>
    </mc:Choice>
  </mc:AlternateContent>
  <xr:revisionPtr revIDLastSave="0" documentId="13_ncr:1_{3F6492F0-2AB6-4B91-B310-8D0386603C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_EJECUTIVO" sheetId="3" r:id="rId1"/>
    <sheet name="DETALLE_DISTRITAL" sheetId="1" r:id="rId2"/>
  </sheets>
  <definedNames>
    <definedName name="_xlnm._FilterDatabase" localSheetId="1" hidden="1">DETALLE_DISTRITAL!$A$1:$G$112</definedName>
  </definedNames>
  <calcPr calcId="191028"/>
  <pivotCaches>
    <pivotCache cacheId="28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2" i="1"/>
</calcChain>
</file>

<file path=xl/sharedStrings.xml><?xml version="1.0" encoding="utf-8"?>
<sst xmlns="http://schemas.openxmlformats.org/spreadsheetml/2006/main" count="568" uniqueCount="104">
  <si>
    <t>Etiquetas de fila</t>
  </si>
  <si>
    <t>Suma de SUPERFICIE_HA</t>
  </si>
  <si>
    <t>Suma de NRO_PREDIOS_ESTIMADO</t>
  </si>
  <si>
    <t>ALTA (Zona de Expansión)</t>
  </si>
  <si>
    <t>MUY ALTA (Corredor Económico)</t>
  </si>
  <si>
    <t>Total general</t>
  </si>
  <si>
    <t>PRIORIDAD_TITULACION</t>
  </si>
  <si>
    <t>DEPARTAMENTO</t>
  </si>
  <si>
    <t>PROVINCIA</t>
  </si>
  <si>
    <t>DISTRITO</t>
  </si>
  <si>
    <t>SUPERFICIE_HA</t>
  </si>
  <si>
    <t>NRO_PREDIOS_ESTIMADO</t>
  </si>
  <si>
    <t>FUENTE_BASE</t>
  </si>
  <si>
    <t>HUANUCO</t>
  </si>
  <si>
    <t>MNSA / SICAR</t>
  </si>
  <si>
    <t>AMARILIS</t>
  </si>
  <si>
    <t>YARUMAYO</t>
  </si>
  <si>
    <t>PILLCO MARCA</t>
  </si>
  <si>
    <t>CHURUBAMBA</t>
  </si>
  <si>
    <t>QUISQUI (KICHKI)</t>
  </si>
  <si>
    <t>SAN FRANCISCO DE CAYRAN</t>
  </si>
  <si>
    <t>SAN PEDRO DE CHAULAN</t>
  </si>
  <si>
    <t>YACUS</t>
  </si>
  <si>
    <t>DOS DE MAYO</t>
  </si>
  <si>
    <t>CHUQUIS</t>
  </si>
  <si>
    <t>PACHAS</t>
  </si>
  <si>
    <t>RIPAN</t>
  </si>
  <si>
    <t>PACHITEA</t>
  </si>
  <si>
    <t>PANAO</t>
  </si>
  <si>
    <t>YAROWILCA</t>
  </si>
  <si>
    <t>CAHUAC</t>
  </si>
  <si>
    <t>CHACABAMBA</t>
  </si>
  <si>
    <t>APARICIO POMARES</t>
  </si>
  <si>
    <t>JACAS CHICO</t>
  </si>
  <si>
    <t>PAMPAMARCA</t>
  </si>
  <si>
    <t>CHORAS</t>
  </si>
  <si>
    <t>LAURICOCHA</t>
  </si>
  <si>
    <t>QUEROPALCA</t>
  </si>
  <si>
    <t>SAN FRANCISCO DE ASIS</t>
  </si>
  <si>
    <t>SAN MIGUEL DE CAURI</t>
  </si>
  <si>
    <t>CHINCHAO</t>
  </si>
  <si>
    <t>YANAS</t>
  </si>
  <si>
    <t>MARGOS</t>
  </si>
  <si>
    <t>CHAGLLA</t>
  </si>
  <si>
    <t>SANTA MARIA DEL VALLE</t>
  </si>
  <si>
    <t>QUIVILLA</t>
  </si>
  <si>
    <t>HUAMALIES</t>
  </si>
  <si>
    <t>SINGA</t>
  </si>
  <si>
    <t>LEONCIO PRADO</t>
  </si>
  <si>
    <t>RUPA-RUPA</t>
  </si>
  <si>
    <t>MARIAS</t>
  </si>
  <si>
    <t>LLATA</t>
  </si>
  <si>
    <t>CHAVIN DE PARIARCA</t>
  </si>
  <si>
    <t>JACAS GRANDE</t>
  </si>
  <si>
    <t>JIRCAN</t>
  </si>
  <si>
    <t>DANIEL ALOMIA ROBLES</t>
  </si>
  <si>
    <t>ARANCAY</t>
  </si>
  <si>
    <t>LUYANDO</t>
  </si>
  <si>
    <t>MARAÑON</t>
  </si>
  <si>
    <t>HUACRACHUCO</t>
  </si>
  <si>
    <t>SAN BUENAVENTURA</t>
  </si>
  <si>
    <t>AMBO</t>
  </si>
  <si>
    <t>SAN RAFAEL</t>
  </si>
  <si>
    <t>CAYNA</t>
  </si>
  <si>
    <t>COLPAS</t>
  </si>
  <si>
    <t>TOMAY KICHWA</t>
  </si>
  <si>
    <t>CONCHAMARCA</t>
  </si>
  <si>
    <t>HUACAR</t>
  </si>
  <si>
    <t>SAN FRANCISCO</t>
  </si>
  <si>
    <t>LA UNION</t>
  </si>
  <si>
    <t>SILLAPATA</t>
  </si>
  <si>
    <t>MOLINO</t>
  </si>
  <si>
    <t>UMARI</t>
  </si>
  <si>
    <t>CHAVINILLO</t>
  </si>
  <si>
    <t>OBAS</t>
  </si>
  <si>
    <t>JESUS</t>
  </si>
  <si>
    <t>BAÑOS</t>
  </si>
  <si>
    <t>JIVIA</t>
  </si>
  <si>
    <t>RONDOS</t>
  </si>
  <si>
    <t>MIRAFLORES</t>
  </si>
  <si>
    <t>MONZON</t>
  </si>
  <si>
    <t>PUNCHAO</t>
  </si>
  <si>
    <t>PUÑOS</t>
  </si>
  <si>
    <t>PUERTO INCA</t>
  </si>
  <si>
    <t>CODO DEL POZUZO</t>
  </si>
  <si>
    <t>TANTAMAYO</t>
  </si>
  <si>
    <t>MARIANO DAMASO BERAUN</t>
  </si>
  <si>
    <t>HUACAYBAMBA</t>
  </si>
  <si>
    <t>CANCHABAMBA</t>
  </si>
  <si>
    <t>COCHABAMBA</t>
  </si>
  <si>
    <t>PINRA</t>
  </si>
  <si>
    <t>JOSE CRESPO Y CASTILLO</t>
  </si>
  <si>
    <t>CHOLON</t>
  </si>
  <si>
    <t>HONORIA</t>
  </si>
  <si>
    <t>TOURNAVISTA</t>
  </si>
  <si>
    <t>YUYAPICHIS</t>
  </si>
  <si>
    <t>SAN PABLO DE PILLAO</t>
  </si>
  <si>
    <t>PUCAYACU</t>
  </si>
  <si>
    <t>LA MORADA</t>
  </si>
  <si>
    <t>SANTA ROSA DE ALTO YANAJANCA</t>
  </si>
  <si>
    <t>CASTILLO GRANDE</t>
  </si>
  <si>
    <t>PUEBLO NUEVO</t>
  </si>
  <si>
    <t>SANTO DOMINGO DE ANDA</t>
  </si>
  <si>
    <t>HERMILIO VALDIZAN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</si>
</sst>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GUSA" refreshedDate="46000.568464351854" createdVersion="8" refreshedVersion="8" minRefreshableVersion="3" recordCount="111" xr:uid="{F6427AF3-A23D-4490-875F-053C6D26BB62}">
  <cacheSource type="worksheet">
    <worksheetSource ref="A1:G112" sheet="DETALLE_DISTRITAL"/>
  </cacheSource>
  <cacheFields count="7">
    <cacheField name="PRIORIDAD_TITULACION" numFmtId="0">
      <sharedItems count="2">
        <s v="MUY ALTA (Corredor Económico)"/>
        <s v="ALTA (Zona de Expansión)"/>
      </sharedItems>
    </cacheField>
    <cacheField name="DEPARTAMENTO" numFmtId="0">
      <sharedItems count="1">
        <s v="HUANUCO"/>
      </sharedItems>
    </cacheField>
    <cacheField name="PROVINCIA" numFmtId="0">
      <sharedItems/>
    </cacheField>
    <cacheField name="DISTRITO" numFmtId="0">
      <sharedItems/>
    </cacheField>
    <cacheField name="SUPERFICIE_HA" numFmtId="0">
      <sharedItems containsSemiMixedTypes="0" containsString="0" containsNumber="1" minValue="0.6215726780508718" maxValue="27499.0976014976" count="111">
        <n v="2665.0811648583749"/>
        <n v="4332.8725618806548"/>
        <n v="2154.5343928674779"/>
        <n v="596.75002398986362"/>
        <n v="418.59362018604583"/>
        <n v="4986.7296963214394"/>
        <n v="5616.8900962356875"/>
        <n v="552.14252205097114"/>
        <n v="179.15620107659521"/>
        <n v="1989.5397261060441"/>
        <n v="2.983060607044445"/>
        <n v="1643.41774266071"/>
        <n v="46.743499918139811"/>
        <n v="324.30636501962681"/>
        <n v="800.63276300431608"/>
        <n v="3718.3769710211732"/>
        <n v="23383.618168948171"/>
        <n v="38.48398209267458"/>
        <n v="37.239844118376539"/>
        <n v="2404.1564511804868"/>
        <n v="925.93951405315659"/>
        <n v="19.426000038891861"/>
        <n v="2412.5872782299298"/>
        <n v="7.4243977389322291"/>
        <n v="79.9403850911999"/>
        <n v="55.838998121694203"/>
        <n v="120.03667066611359"/>
        <n v="10626.04613024824"/>
        <n v="3.1703293225711908"/>
        <n v="1559.2939116384939"/>
        <n v="6457.4562294338793"/>
        <n v="4289.212509412172"/>
        <n v="3622.7295300231472"/>
        <n v="304.70115183753211"/>
        <n v="6.4050210268167724"/>
        <n v="3176.118533701102"/>
        <n v="4071.504851246124"/>
        <n v="26.052918110755851"/>
        <n v="1439.541894969306"/>
        <n v="1.5588962115572771"/>
        <n v="4928.0158697778152"/>
        <n v="377.8352671237468"/>
        <n v="335.27814132931741"/>
        <n v="5.6682094301521007"/>
        <n v="2996.8022655139171"/>
        <n v="1730.660548502678"/>
        <n v="5019.4701035221278"/>
        <n v="792.6157292702452"/>
        <n v="5369.7648510936742"/>
        <n v="1753.8030543823249"/>
        <n v="6804.4276853184538"/>
        <n v="5434.2584836438837"/>
        <n v="0.6215726780508718"/>
        <n v="322.52581427149357"/>
        <n v="62.633225325524258"/>
        <n v="1649.721689328552"/>
        <n v="2133.92267788557"/>
        <n v="484.73990900179717"/>
        <n v="332.50562933763871"/>
        <n v="846.55760989735722"/>
        <n v="4.9780706965879782"/>
        <n v="6403.6169073055153"/>
        <n v="7121.5839933094112"/>
        <n v="414.43239495108628"/>
        <n v="919.02940312220971"/>
        <n v="5571.5243204980115"/>
        <n v="2788.5874646049651"/>
        <n v="152.73434534330181"/>
        <n v="4081.6110023425499"/>
        <n v="2731.2302729783928"/>
        <n v="195.43931468364249"/>
        <n v="7814.1650159382789"/>
        <n v="21.029615909070991"/>
        <n v="13.155131391274971"/>
        <n v="2340.9096906453428"/>
        <n v="27499.0976014976"/>
        <n v="7403.479796989398"/>
        <n v="13734.718559106959"/>
        <n v="64.478808582300175"/>
        <n v="1065.2810831346501"/>
        <n v="1142.721083012314"/>
        <n v="8960.7454989986782"/>
        <n v="33.388968336545247"/>
        <n v="4610.0344219259459"/>
        <n v="24.351223275432829"/>
        <n v="1486.931915780794"/>
        <n v="750.99704670935512"/>
        <n v="1410.1718707699099"/>
        <n v="81.173158426231282"/>
        <n v="4666.2756336942039"/>
        <n v="8.2498875218679917"/>
        <n v="7975.4321634827002"/>
        <n v="876.87905432864818"/>
        <n v="4488.4526888237651"/>
        <n v="511.23516396689138"/>
        <n v="11084.053567033259"/>
        <n v="11679.089238782361"/>
        <n v="25317.323164168509"/>
        <n v="14028.45997646139"/>
        <n v="27131.628830080728"/>
        <n v="2310.9979440713219"/>
        <n v="11681.8326772619"/>
        <n v="2225.4506096491468"/>
        <n v="28.117597907635201"/>
        <n v="3551.5025267537621"/>
        <n v="1221.1764932070889"/>
        <n v="1646.391576014249"/>
        <n v="3055.5630663867901"/>
        <n v="3073.0028639783541"/>
        <n v="1.6705310200501471"/>
        <n v="1543.242649171139"/>
      </sharedItems>
    </cacheField>
    <cacheField name="NRO_PREDIOS_ESTIMADO" numFmtId="0">
      <sharedItems containsSemiMixedTypes="0" containsString="0" containsNumber="1" minValue="0.12431453561017436" maxValue="5499.8195202995203" count="111">
        <n v="533.01623297167498"/>
        <n v="866.574512376131"/>
        <n v="430.90687857349559"/>
        <n v="119.35000479797273"/>
        <n v="83.718724037209171"/>
        <n v="997.34593926428784"/>
        <n v="1123.3780192471374"/>
        <n v="110.42850441019422"/>
        <n v="35.831240215319042"/>
        <n v="397.90794522120882"/>
        <n v="0.59661212140888897"/>
        <n v="328.68354853214203"/>
        <n v="9.348699983627963"/>
        <n v="64.861273003925362"/>
        <n v="160.12655260086322"/>
        <n v="743.67539420423464"/>
        <n v="4676.7236337896338"/>
        <n v="7.696796418534916"/>
        <n v="7.4479688236753079"/>
        <n v="480.83129023609735"/>
        <n v="185.18790281063133"/>
        <n v="3.8852000077783719"/>
        <n v="482.51745564598593"/>
        <n v="1.4848795477864458"/>
        <n v="15.988077018239981"/>
        <n v="11.167799624338841"/>
        <n v="24.00733413322272"/>
        <n v="2125.2092260496479"/>
        <n v="0.63406586451423819"/>
        <n v="311.8587823276988"/>
        <n v="1291.4912458867759"/>
        <n v="857.84250188243436"/>
        <n v="724.54590600462939"/>
        <n v="60.940230367506423"/>
        <n v="1.2810042053633546"/>
        <n v="635.22370674022045"/>
        <n v="814.30097024922475"/>
        <n v="5.2105836221511703"/>
        <n v="287.90837899386122"/>
        <n v="0.31177924231145543"/>
        <n v="985.60317395556308"/>
        <n v="75.567053424749361"/>
        <n v="67.055628265863476"/>
        <n v="1.13364188603042"/>
        <n v="599.36045310278337"/>
        <n v="346.13210970053558"/>
        <n v="1003.8940207044255"/>
        <n v="158.52314585404903"/>
        <n v="1073.9529702187349"/>
        <n v="350.76061087646497"/>
        <n v="1360.8855370636907"/>
        <n v="1086.8516967287767"/>
        <n v="0.12431453561017436"/>
        <n v="64.505162854298717"/>
        <n v="12.526645065104852"/>
        <n v="329.94433786571039"/>
        <n v="426.78453557711401"/>
        <n v="96.947981800359429"/>
        <n v="66.501125867527747"/>
        <n v="169.31152197947145"/>
        <n v="0.99561413931759568"/>
        <n v="1280.7233814611031"/>
        <n v="1424.3167986618823"/>
        <n v="82.886478990217256"/>
        <n v="183.80588062444195"/>
        <n v="1114.3048640996024"/>
        <n v="557.71749292099298"/>
        <n v="30.546869068660364"/>
        <n v="816.32220046851"/>
        <n v="546.24605459567852"/>
        <n v="39.087862936728499"/>
        <n v="1562.8330031876558"/>
        <n v="4.2059231818141978"/>
        <n v="2.631026278254994"/>
        <n v="468.18193812906856"/>
        <n v="5499.8195202995203"/>
        <n v="1480.6959593978795"/>
        <n v="2746.9437118213918"/>
        <n v="12.895761716460035"/>
        <n v="213.05621662693002"/>
        <n v="228.5442166024628"/>
        <n v="1792.1490997997357"/>
        <n v="6.6777936673090492"/>
        <n v="922.00688438518921"/>
        <n v="4.8702446550865659"/>
        <n v="297.38638315615879"/>
        <n v="150.19940934187102"/>
        <n v="282.03437415398196"/>
        <n v="16.234631685246256"/>
        <n v="933.25512673884077"/>
        <n v="1.6499775043735982"/>
        <n v="1595.08643269654"/>
        <n v="175.37581086572965"/>
        <n v="897.690537764753"/>
        <n v="102.24703279337828"/>
        <n v="2216.8107134066518"/>
        <n v="2335.817847756472"/>
        <n v="5063.4646328337021"/>
        <n v="2805.6919952922781"/>
        <n v="5426.3257660161453"/>
        <n v="462.19958881426436"/>
        <n v="2336.36653545238"/>
        <n v="445.09012192982937"/>
        <n v="5.6235195815270398"/>
        <n v="710.30050535075247"/>
        <n v="244.23529864141778"/>
        <n v="329.2783152028498"/>
        <n v="611.11261327735804"/>
        <n v="614.60057279567081"/>
        <n v="0.33410620401002944"/>
        <n v="308.64852983422782"/>
      </sharedItems>
    </cacheField>
    <cacheField name="FUENTE_B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s v="HUANUCO"/>
    <s v="HUANUCO"/>
    <x v="0"/>
    <x v="0"/>
    <s v="MNSA / SICAR"/>
  </r>
  <r>
    <x v="0"/>
    <x v="0"/>
    <s v="HUANUCO"/>
    <s v="AMARILIS"/>
    <x v="1"/>
    <x v="1"/>
    <s v="MNSA / SICAR"/>
  </r>
  <r>
    <x v="0"/>
    <x v="0"/>
    <s v="HUANUCO"/>
    <s v="YARUMAYO"/>
    <x v="2"/>
    <x v="2"/>
    <s v="MNSA / SICAR"/>
  </r>
  <r>
    <x v="0"/>
    <x v="0"/>
    <s v="HUANUCO"/>
    <s v="PILLCO MARCA"/>
    <x v="3"/>
    <x v="3"/>
    <s v="MNSA / SICAR"/>
  </r>
  <r>
    <x v="1"/>
    <x v="0"/>
    <s v="HUANUCO"/>
    <s v="CHURUBAMBA"/>
    <x v="4"/>
    <x v="4"/>
    <s v="MNSA / SICAR"/>
  </r>
  <r>
    <x v="0"/>
    <x v="0"/>
    <s v="HUANUCO"/>
    <s v="CHURUBAMBA"/>
    <x v="5"/>
    <x v="5"/>
    <s v="MNSA / SICAR"/>
  </r>
  <r>
    <x v="0"/>
    <x v="0"/>
    <s v="HUANUCO"/>
    <s v="QUISQUI (KICHKI)"/>
    <x v="6"/>
    <x v="6"/>
    <s v="MNSA / SICAR"/>
  </r>
  <r>
    <x v="0"/>
    <x v="0"/>
    <s v="HUANUCO"/>
    <s v="SAN FRANCISCO DE CAYRAN"/>
    <x v="7"/>
    <x v="7"/>
    <s v="MNSA / SICAR"/>
  </r>
  <r>
    <x v="0"/>
    <x v="0"/>
    <s v="HUANUCO"/>
    <s v="SAN PEDRO DE CHAULAN"/>
    <x v="8"/>
    <x v="8"/>
    <s v="MNSA / SICAR"/>
  </r>
  <r>
    <x v="0"/>
    <x v="0"/>
    <s v="HUANUCO"/>
    <s v="YACUS"/>
    <x v="9"/>
    <x v="9"/>
    <s v="MNSA / SICAR"/>
  </r>
  <r>
    <x v="1"/>
    <x v="0"/>
    <s v="DOS DE MAYO"/>
    <s v="CHUQUIS"/>
    <x v="10"/>
    <x v="10"/>
    <s v="MNSA / SICAR"/>
  </r>
  <r>
    <x v="0"/>
    <x v="0"/>
    <s v="DOS DE MAYO"/>
    <s v="CHUQUIS"/>
    <x v="11"/>
    <x v="11"/>
    <s v="MNSA / SICAR"/>
  </r>
  <r>
    <x v="1"/>
    <x v="0"/>
    <s v="DOS DE MAYO"/>
    <s v="PACHAS"/>
    <x v="12"/>
    <x v="12"/>
    <s v="MNSA / SICAR"/>
  </r>
  <r>
    <x v="0"/>
    <x v="0"/>
    <s v="DOS DE MAYO"/>
    <s v="PACHAS"/>
    <x v="13"/>
    <x v="13"/>
    <s v="MNSA / SICAR"/>
  </r>
  <r>
    <x v="0"/>
    <x v="0"/>
    <s v="DOS DE MAYO"/>
    <s v="RIPAN"/>
    <x v="14"/>
    <x v="14"/>
    <s v="MNSA / SICAR"/>
  </r>
  <r>
    <x v="1"/>
    <x v="0"/>
    <s v="PACHITEA"/>
    <s v="PANAO"/>
    <x v="15"/>
    <x v="15"/>
    <s v="MNSA / SICAR"/>
  </r>
  <r>
    <x v="0"/>
    <x v="0"/>
    <s v="PACHITEA"/>
    <s v="PANAO"/>
    <x v="16"/>
    <x v="16"/>
    <s v="MNSA / SICAR"/>
  </r>
  <r>
    <x v="0"/>
    <x v="0"/>
    <s v="YAROWILCA"/>
    <s v="CAHUAC"/>
    <x v="17"/>
    <x v="17"/>
    <s v="MNSA / SICAR"/>
  </r>
  <r>
    <x v="0"/>
    <x v="0"/>
    <s v="YAROWILCA"/>
    <s v="CHACABAMBA"/>
    <x v="18"/>
    <x v="18"/>
    <s v="MNSA / SICAR"/>
  </r>
  <r>
    <x v="0"/>
    <x v="0"/>
    <s v="YAROWILCA"/>
    <s v="APARICIO POMARES"/>
    <x v="19"/>
    <x v="19"/>
    <s v="MNSA / SICAR"/>
  </r>
  <r>
    <x v="0"/>
    <x v="0"/>
    <s v="YAROWILCA"/>
    <s v="JACAS CHICO"/>
    <x v="20"/>
    <x v="20"/>
    <s v="MNSA / SICAR"/>
  </r>
  <r>
    <x v="0"/>
    <x v="0"/>
    <s v="YAROWILCA"/>
    <s v="PAMPAMARCA"/>
    <x v="21"/>
    <x v="21"/>
    <s v="MNSA / SICAR"/>
  </r>
  <r>
    <x v="0"/>
    <x v="0"/>
    <s v="YAROWILCA"/>
    <s v="CHORAS"/>
    <x v="22"/>
    <x v="22"/>
    <s v="MNSA / SICAR"/>
  </r>
  <r>
    <x v="0"/>
    <x v="0"/>
    <s v="LAURICOCHA"/>
    <s v="QUEROPALCA"/>
    <x v="23"/>
    <x v="23"/>
    <s v="MNSA / SICAR"/>
  </r>
  <r>
    <x v="0"/>
    <x v="0"/>
    <s v="LAURICOCHA"/>
    <s v="SAN FRANCISCO DE ASIS"/>
    <x v="24"/>
    <x v="24"/>
    <s v="MNSA / SICAR"/>
  </r>
  <r>
    <x v="0"/>
    <x v="0"/>
    <s v="LAURICOCHA"/>
    <s v="SAN MIGUEL DE CAURI"/>
    <x v="25"/>
    <x v="25"/>
    <s v="MNSA / SICAR"/>
  </r>
  <r>
    <x v="1"/>
    <x v="0"/>
    <s v="HUANUCO"/>
    <s v="CHINCHAO"/>
    <x v="26"/>
    <x v="26"/>
    <s v="MNSA / SICAR"/>
  </r>
  <r>
    <x v="0"/>
    <x v="0"/>
    <s v="HUANUCO"/>
    <s v="CHINCHAO"/>
    <x v="27"/>
    <x v="27"/>
    <s v="MNSA / SICAR"/>
  </r>
  <r>
    <x v="0"/>
    <x v="0"/>
    <s v="DOS DE MAYO"/>
    <s v="YANAS"/>
    <x v="28"/>
    <x v="28"/>
    <s v="MNSA / SICAR"/>
  </r>
  <r>
    <x v="0"/>
    <x v="0"/>
    <s v="HUANUCO"/>
    <s v="MARGOS"/>
    <x v="29"/>
    <x v="29"/>
    <s v="MNSA / SICAR"/>
  </r>
  <r>
    <x v="1"/>
    <x v="0"/>
    <s v="PACHITEA"/>
    <s v="CHAGLLA"/>
    <x v="30"/>
    <x v="30"/>
    <s v="MNSA / SICAR"/>
  </r>
  <r>
    <x v="0"/>
    <x v="0"/>
    <s v="PACHITEA"/>
    <s v="CHAGLLA"/>
    <x v="31"/>
    <x v="31"/>
    <s v="MNSA / SICAR"/>
  </r>
  <r>
    <x v="0"/>
    <x v="0"/>
    <s v="HUANUCO"/>
    <s v="SANTA MARIA DEL VALLE"/>
    <x v="32"/>
    <x v="32"/>
    <s v="MNSA / SICAR"/>
  </r>
  <r>
    <x v="0"/>
    <x v="0"/>
    <s v="DOS DE MAYO"/>
    <s v="QUIVILLA"/>
    <x v="33"/>
    <x v="33"/>
    <s v="MNSA / SICAR"/>
  </r>
  <r>
    <x v="1"/>
    <x v="0"/>
    <s v="HUAMALIES"/>
    <s v="SINGA"/>
    <x v="34"/>
    <x v="34"/>
    <s v="MNSA / SICAR"/>
  </r>
  <r>
    <x v="0"/>
    <x v="0"/>
    <s v="HUAMALIES"/>
    <s v="SINGA"/>
    <x v="35"/>
    <x v="35"/>
    <s v="MNSA / SICAR"/>
  </r>
  <r>
    <x v="0"/>
    <x v="0"/>
    <s v="LEONCIO PRADO"/>
    <s v="RUPA-RUPA"/>
    <x v="36"/>
    <x v="36"/>
    <s v="MNSA / SICAR"/>
  </r>
  <r>
    <x v="1"/>
    <x v="0"/>
    <s v="DOS DE MAYO"/>
    <s v="MARIAS"/>
    <x v="37"/>
    <x v="37"/>
    <s v="MNSA / SICAR"/>
  </r>
  <r>
    <x v="0"/>
    <x v="0"/>
    <s v="DOS DE MAYO"/>
    <s v="MARIAS"/>
    <x v="38"/>
    <x v="38"/>
    <s v="MNSA / SICAR"/>
  </r>
  <r>
    <x v="1"/>
    <x v="0"/>
    <s v="HUAMALIES"/>
    <s v="LLATA"/>
    <x v="39"/>
    <x v="39"/>
    <s v="MNSA / SICAR"/>
  </r>
  <r>
    <x v="0"/>
    <x v="0"/>
    <s v="HUAMALIES"/>
    <s v="LLATA"/>
    <x v="40"/>
    <x v="40"/>
    <s v="MNSA / SICAR"/>
  </r>
  <r>
    <x v="0"/>
    <x v="0"/>
    <s v="HUAMALIES"/>
    <s v="CHAVIN DE PARIARCA"/>
    <x v="41"/>
    <x v="41"/>
    <s v="MNSA / SICAR"/>
  </r>
  <r>
    <x v="0"/>
    <x v="0"/>
    <s v="HUAMALIES"/>
    <s v="JACAS GRANDE"/>
    <x v="42"/>
    <x v="42"/>
    <s v="MNSA / SICAR"/>
  </r>
  <r>
    <x v="0"/>
    <x v="0"/>
    <s v="HUAMALIES"/>
    <s v="JIRCAN"/>
    <x v="43"/>
    <x v="43"/>
    <s v="MNSA / SICAR"/>
  </r>
  <r>
    <x v="0"/>
    <x v="0"/>
    <s v="LEONCIO PRADO"/>
    <s v="DANIEL ALOMIA ROBLES"/>
    <x v="44"/>
    <x v="44"/>
    <s v="MNSA / SICAR"/>
  </r>
  <r>
    <x v="0"/>
    <x v="0"/>
    <s v="HUAMALIES"/>
    <s v="ARANCAY"/>
    <x v="45"/>
    <x v="45"/>
    <s v="MNSA / SICAR"/>
  </r>
  <r>
    <x v="0"/>
    <x v="0"/>
    <s v="LEONCIO PRADO"/>
    <s v="LUYANDO"/>
    <x v="46"/>
    <x v="46"/>
    <s v="MNSA / SICAR"/>
  </r>
  <r>
    <x v="1"/>
    <x v="0"/>
    <s v="MARAÑON"/>
    <s v="HUACRACHUCO"/>
    <x v="47"/>
    <x v="47"/>
    <s v="MNSA / SICAR"/>
  </r>
  <r>
    <x v="0"/>
    <x v="0"/>
    <s v="MARAÑON"/>
    <s v="HUACRACHUCO"/>
    <x v="48"/>
    <x v="48"/>
    <s v="MNSA / SICAR"/>
  </r>
  <r>
    <x v="0"/>
    <x v="0"/>
    <s v="MARAÑON"/>
    <s v="SAN BUENAVENTURA"/>
    <x v="49"/>
    <x v="49"/>
    <s v="MNSA / SICAR"/>
  </r>
  <r>
    <x v="0"/>
    <x v="0"/>
    <s v="AMBO"/>
    <s v="SAN RAFAEL"/>
    <x v="50"/>
    <x v="50"/>
    <s v="MNSA / SICAR"/>
  </r>
  <r>
    <x v="0"/>
    <x v="0"/>
    <s v="AMBO"/>
    <s v="AMBO"/>
    <x v="51"/>
    <x v="51"/>
    <s v="MNSA / SICAR"/>
  </r>
  <r>
    <x v="1"/>
    <x v="0"/>
    <s v="AMBO"/>
    <s v="CAYNA"/>
    <x v="52"/>
    <x v="52"/>
    <s v="MNSA / SICAR"/>
  </r>
  <r>
    <x v="0"/>
    <x v="0"/>
    <s v="AMBO"/>
    <s v="CAYNA"/>
    <x v="53"/>
    <x v="53"/>
    <s v="MNSA / SICAR"/>
  </r>
  <r>
    <x v="0"/>
    <x v="0"/>
    <s v="AMBO"/>
    <s v="COLPAS"/>
    <x v="54"/>
    <x v="54"/>
    <s v="MNSA / SICAR"/>
  </r>
  <r>
    <x v="0"/>
    <x v="0"/>
    <s v="AMBO"/>
    <s v="TOMAY KICHWA"/>
    <x v="55"/>
    <x v="55"/>
    <s v="MNSA / SICAR"/>
  </r>
  <r>
    <x v="0"/>
    <x v="0"/>
    <s v="AMBO"/>
    <s v="CONCHAMARCA"/>
    <x v="56"/>
    <x v="56"/>
    <s v="MNSA / SICAR"/>
  </r>
  <r>
    <x v="0"/>
    <x v="0"/>
    <s v="AMBO"/>
    <s v="HUACAR"/>
    <x v="57"/>
    <x v="57"/>
    <s v="MNSA / SICAR"/>
  </r>
  <r>
    <x v="0"/>
    <x v="0"/>
    <s v="AMBO"/>
    <s v="SAN FRANCISCO"/>
    <x v="58"/>
    <x v="58"/>
    <s v="MNSA / SICAR"/>
  </r>
  <r>
    <x v="0"/>
    <x v="0"/>
    <s v="DOS DE MAYO"/>
    <s v="LA UNION"/>
    <x v="59"/>
    <x v="59"/>
    <s v="MNSA / SICAR"/>
  </r>
  <r>
    <x v="0"/>
    <x v="0"/>
    <s v="DOS DE MAYO"/>
    <s v="SILLAPATA"/>
    <x v="60"/>
    <x v="60"/>
    <s v="MNSA / SICAR"/>
  </r>
  <r>
    <x v="0"/>
    <x v="0"/>
    <s v="PACHITEA"/>
    <s v="MOLINO"/>
    <x v="61"/>
    <x v="61"/>
    <s v="MNSA / SICAR"/>
  </r>
  <r>
    <x v="0"/>
    <x v="0"/>
    <s v="PACHITEA"/>
    <s v="UMARI"/>
    <x v="62"/>
    <x v="62"/>
    <s v="MNSA / SICAR"/>
  </r>
  <r>
    <x v="0"/>
    <x v="0"/>
    <s v="YAROWILCA"/>
    <s v="CHAVINILLO"/>
    <x v="63"/>
    <x v="63"/>
    <s v="MNSA / SICAR"/>
  </r>
  <r>
    <x v="0"/>
    <x v="0"/>
    <s v="YAROWILCA"/>
    <s v="OBAS"/>
    <x v="64"/>
    <x v="64"/>
    <s v="MNSA / SICAR"/>
  </r>
  <r>
    <x v="0"/>
    <x v="0"/>
    <s v="LAURICOCHA"/>
    <s v="JESUS"/>
    <x v="65"/>
    <x v="65"/>
    <s v="MNSA / SICAR"/>
  </r>
  <r>
    <x v="0"/>
    <x v="0"/>
    <s v="LAURICOCHA"/>
    <s v="BAÑOS"/>
    <x v="66"/>
    <x v="66"/>
    <s v="MNSA / SICAR"/>
  </r>
  <r>
    <x v="0"/>
    <x v="0"/>
    <s v="LAURICOCHA"/>
    <s v="JIVIA"/>
    <x v="67"/>
    <x v="67"/>
    <s v="MNSA / SICAR"/>
  </r>
  <r>
    <x v="0"/>
    <x v="0"/>
    <s v="LAURICOCHA"/>
    <s v="RONDOS"/>
    <x v="68"/>
    <x v="68"/>
    <s v="MNSA / SICAR"/>
  </r>
  <r>
    <x v="0"/>
    <x v="0"/>
    <s v="HUAMALIES"/>
    <s v="MIRAFLORES"/>
    <x v="69"/>
    <x v="69"/>
    <s v="MNSA / SICAR"/>
  </r>
  <r>
    <x v="1"/>
    <x v="0"/>
    <s v="HUAMALIES"/>
    <s v="MONZON"/>
    <x v="70"/>
    <x v="70"/>
    <s v="MNSA / SICAR"/>
  </r>
  <r>
    <x v="0"/>
    <x v="0"/>
    <s v="HUAMALIES"/>
    <s v="MONZON"/>
    <x v="71"/>
    <x v="71"/>
    <s v="MNSA / SICAR"/>
  </r>
  <r>
    <x v="0"/>
    <x v="0"/>
    <s v="HUAMALIES"/>
    <s v="PUNCHAO"/>
    <x v="72"/>
    <x v="72"/>
    <s v="MNSA / SICAR"/>
  </r>
  <r>
    <x v="0"/>
    <x v="0"/>
    <s v="HUAMALIES"/>
    <s v="PUÑOS"/>
    <x v="73"/>
    <x v="73"/>
    <s v="MNSA / SICAR"/>
  </r>
  <r>
    <x v="1"/>
    <x v="0"/>
    <s v="PUERTO INCA"/>
    <s v="PUERTO INCA"/>
    <x v="74"/>
    <x v="74"/>
    <s v="MNSA / SICAR"/>
  </r>
  <r>
    <x v="0"/>
    <x v="0"/>
    <s v="PUERTO INCA"/>
    <s v="PUERTO INCA"/>
    <x v="75"/>
    <x v="75"/>
    <s v="MNSA / SICAR"/>
  </r>
  <r>
    <x v="1"/>
    <x v="0"/>
    <s v="PUERTO INCA"/>
    <s v="CODO DEL POZUZO"/>
    <x v="76"/>
    <x v="76"/>
    <s v="MNSA / SICAR"/>
  </r>
  <r>
    <x v="0"/>
    <x v="0"/>
    <s v="PUERTO INCA"/>
    <s v="CODO DEL POZUZO"/>
    <x v="77"/>
    <x v="77"/>
    <s v="MNSA / SICAR"/>
  </r>
  <r>
    <x v="1"/>
    <x v="0"/>
    <s v="HUAMALIES"/>
    <s v="TANTAMAYO"/>
    <x v="78"/>
    <x v="78"/>
    <s v="MNSA / SICAR"/>
  </r>
  <r>
    <x v="0"/>
    <x v="0"/>
    <s v="HUAMALIES"/>
    <s v="TANTAMAYO"/>
    <x v="79"/>
    <x v="79"/>
    <s v="MNSA / SICAR"/>
  </r>
  <r>
    <x v="1"/>
    <x v="0"/>
    <s v="LEONCIO PRADO"/>
    <s v="MARIANO DAMASO BERAUN"/>
    <x v="80"/>
    <x v="80"/>
    <s v="MNSA / SICAR"/>
  </r>
  <r>
    <x v="0"/>
    <x v="0"/>
    <s v="LEONCIO PRADO"/>
    <s v="MARIANO DAMASO BERAUN"/>
    <x v="81"/>
    <x v="81"/>
    <s v="MNSA / SICAR"/>
  </r>
  <r>
    <x v="1"/>
    <x v="0"/>
    <s v="HUACAYBAMBA"/>
    <s v="HUACAYBAMBA"/>
    <x v="82"/>
    <x v="82"/>
    <s v="MNSA / SICAR"/>
  </r>
  <r>
    <x v="0"/>
    <x v="0"/>
    <s v="HUACAYBAMBA"/>
    <s v="HUACAYBAMBA"/>
    <x v="83"/>
    <x v="83"/>
    <s v="MNSA / SICAR"/>
  </r>
  <r>
    <x v="1"/>
    <x v="0"/>
    <s v="HUACAYBAMBA"/>
    <s v="CANCHABAMBA"/>
    <x v="84"/>
    <x v="84"/>
    <s v="MNSA / SICAR"/>
  </r>
  <r>
    <x v="0"/>
    <x v="0"/>
    <s v="HUACAYBAMBA"/>
    <s v="CANCHABAMBA"/>
    <x v="85"/>
    <x v="85"/>
    <s v="MNSA / SICAR"/>
  </r>
  <r>
    <x v="1"/>
    <x v="0"/>
    <s v="HUACAYBAMBA"/>
    <s v="COCHABAMBA"/>
    <x v="86"/>
    <x v="86"/>
    <s v="MNSA / SICAR"/>
  </r>
  <r>
    <x v="0"/>
    <x v="0"/>
    <s v="HUACAYBAMBA"/>
    <s v="COCHABAMBA"/>
    <x v="87"/>
    <x v="87"/>
    <s v="MNSA / SICAR"/>
  </r>
  <r>
    <x v="1"/>
    <x v="0"/>
    <s v="HUACAYBAMBA"/>
    <s v="PINRA"/>
    <x v="88"/>
    <x v="88"/>
    <s v="MNSA / SICAR"/>
  </r>
  <r>
    <x v="0"/>
    <x v="0"/>
    <s v="HUACAYBAMBA"/>
    <s v="PINRA"/>
    <x v="89"/>
    <x v="89"/>
    <s v="MNSA / SICAR"/>
  </r>
  <r>
    <x v="1"/>
    <x v="0"/>
    <s v="LEONCIO PRADO"/>
    <s v="JOSE CRESPO Y CASTILLO"/>
    <x v="90"/>
    <x v="90"/>
    <s v="MNSA / SICAR"/>
  </r>
  <r>
    <x v="0"/>
    <x v="0"/>
    <s v="LEONCIO PRADO"/>
    <s v="JOSE CRESPO Y CASTILLO"/>
    <x v="91"/>
    <x v="91"/>
    <s v="MNSA / SICAR"/>
  </r>
  <r>
    <x v="1"/>
    <x v="0"/>
    <s v="MARAÑON"/>
    <s v="CHOLON"/>
    <x v="92"/>
    <x v="92"/>
    <s v="MNSA / SICAR"/>
  </r>
  <r>
    <x v="0"/>
    <x v="0"/>
    <s v="MARAÑON"/>
    <s v="CHOLON"/>
    <x v="93"/>
    <x v="93"/>
    <s v="MNSA / SICAR"/>
  </r>
  <r>
    <x v="1"/>
    <x v="0"/>
    <s v="PUERTO INCA"/>
    <s v="HONORIA"/>
    <x v="94"/>
    <x v="94"/>
    <s v="MNSA / SICAR"/>
  </r>
  <r>
    <x v="0"/>
    <x v="0"/>
    <s v="PUERTO INCA"/>
    <s v="HONORIA"/>
    <x v="95"/>
    <x v="95"/>
    <s v="MNSA / SICAR"/>
  </r>
  <r>
    <x v="1"/>
    <x v="0"/>
    <s v="PUERTO INCA"/>
    <s v="TOURNAVISTA"/>
    <x v="96"/>
    <x v="96"/>
    <s v="MNSA / SICAR"/>
  </r>
  <r>
    <x v="0"/>
    <x v="0"/>
    <s v="PUERTO INCA"/>
    <s v="TOURNAVISTA"/>
    <x v="97"/>
    <x v="97"/>
    <s v="MNSA / SICAR"/>
  </r>
  <r>
    <x v="1"/>
    <x v="0"/>
    <s v="PUERTO INCA"/>
    <s v="YUYAPICHIS"/>
    <x v="98"/>
    <x v="98"/>
    <s v="MNSA / SICAR"/>
  </r>
  <r>
    <x v="0"/>
    <x v="0"/>
    <s v="PUERTO INCA"/>
    <s v="YUYAPICHIS"/>
    <x v="99"/>
    <x v="99"/>
    <s v="MNSA / SICAR"/>
  </r>
  <r>
    <x v="1"/>
    <x v="0"/>
    <s v="HUANUCO"/>
    <s v="SAN PABLO DE PILLAO"/>
    <x v="100"/>
    <x v="100"/>
    <s v="MNSA / SICAR"/>
  </r>
  <r>
    <x v="0"/>
    <x v="0"/>
    <s v="HUANUCO"/>
    <s v="SAN PABLO DE PILLAO"/>
    <x v="101"/>
    <x v="101"/>
    <s v="MNSA / SICAR"/>
  </r>
  <r>
    <x v="0"/>
    <x v="0"/>
    <s v="LEONCIO PRADO"/>
    <s v="PUCAYACU"/>
    <x v="102"/>
    <x v="102"/>
    <s v="MNSA / SICAR"/>
  </r>
  <r>
    <x v="1"/>
    <x v="0"/>
    <s v="MARAÑON"/>
    <s v="LA MORADA"/>
    <x v="103"/>
    <x v="103"/>
    <s v="MNSA / SICAR"/>
  </r>
  <r>
    <x v="0"/>
    <x v="0"/>
    <s v="MARAÑON"/>
    <s v="LA MORADA"/>
    <x v="104"/>
    <x v="104"/>
    <s v="MNSA / SICAR"/>
  </r>
  <r>
    <x v="0"/>
    <x v="0"/>
    <s v="MARAÑON"/>
    <s v="SANTA ROSA DE ALTO YANAJANCA"/>
    <x v="105"/>
    <x v="105"/>
    <s v="MNSA / SICAR"/>
  </r>
  <r>
    <x v="0"/>
    <x v="0"/>
    <s v="LEONCIO PRADO"/>
    <s v="CASTILLO GRANDE"/>
    <x v="106"/>
    <x v="106"/>
    <s v="MNSA / SICAR"/>
  </r>
  <r>
    <x v="0"/>
    <x v="0"/>
    <s v="LEONCIO PRADO"/>
    <s v="PUEBLO NUEVO"/>
    <x v="107"/>
    <x v="107"/>
    <s v="MNSA / SICAR"/>
  </r>
  <r>
    <x v="0"/>
    <x v="0"/>
    <s v="LEONCIO PRADO"/>
    <s v="SANTO DOMINGO DE ANDA"/>
    <x v="108"/>
    <x v="108"/>
    <s v="MNSA / SICAR"/>
  </r>
  <r>
    <x v="1"/>
    <x v="0"/>
    <s v="LEONCIO PRADO"/>
    <s v="HERMILIO VALDIZAN"/>
    <x v="109"/>
    <x v="109"/>
    <s v="MNSA / SICAR"/>
  </r>
  <r>
    <x v="0"/>
    <x v="0"/>
    <s v="LEONCIO PRADO"/>
    <s v="HERMILIO VALDIZAN"/>
    <x v="110"/>
    <x v="110"/>
    <s v="MNSA / SI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4AD42-ADC0-4AAC-B4F1-5838473AA05F}" name="TablaDinámica1" cacheId="28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axis="axisRow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dataField="1" showAll="0">
      <items count="112">
        <item x="52"/>
        <item x="39"/>
        <item x="109"/>
        <item x="10"/>
        <item x="28"/>
        <item x="60"/>
        <item x="43"/>
        <item x="34"/>
        <item x="23"/>
        <item x="90"/>
        <item x="73"/>
        <item x="21"/>
        <item x="72"/>
        <item x="84"/>
        <item x="37"/>
        <item x="103"/>
        <item x="82"/>
        <item x="18"/>
        <item x="17"/>
        <item x="12"/>
        <item x="25"/>
        <item x="54"/>
        <item x="78"/>
        <item x="24"/>
        <item x="88"/>
        <item x="26"/>
        <item x="67"/>
        <item x="8"/>
        <item x="70"/>
        <item x="33"/>
        <item x="53"/>
        <item x="13"/>
        <item x="58"/>
        <item x="42"/>
        <item x="41"/>
        <item x="63"/>
        <item x="4"/>
        <item x="57"/>
        <item x="94"/>
        <item x="7"/>
        <item x="3"/>
        <item x="86"/>
        <item x="47"/>
        <item x="14"/>
        <item x="59"/>
        <item x="92"/>
        <item x="64"/>
        <item x="20"/>
        <item x="79"/>
        <item x="80"/>
        <item x="105"/>
        <item x="87"/>
        <item x="38"/>
        <item x="85"/>
        <item x="110"/>
        <item x="29"/>
        <item x="11"/>
        <item x="106"/>
        <item x="55"/>
        <item x="45"/>
        <item x="49"/>
        <item x="9"/>
        <item x="56"/>
        <item x="2"/>
        <item x="102"/>
        <item x="100"/>
        <item x="74"/>
        <item x="19"/>
        <item x="22"/>
        <item x="0"/>
        <item x="69"/>
        <item x="66"/>
        <item x="44"/>
        <item x="107"/>
        <item x="108"/>
        <item x="35"/>
        <item x="104"/>
        <item x="32"/>
        <item x="15"/>
        <item x="36"/>
        <item x="68"/>
        <item x="31"/>
        <item x="1"/>
        <item x="93"/>
        <item x="83"/>
        <item x="89"/>
        <item x="40"/>
        <item x="5"/>
        <item x="46"/>
        <item x="48"/>
        <item x="51"/>
        <item x="65"/>
        <item x="6"/>
        <item x="61"/>
        <item x="30"/>
        <item x="50"/>
        <item x="62"/>
        <item x="76"/>
        <item x="71"/>
        <item x="91"/>
        <item x="81"/>
        <item x="27"/>
        <item x="95"/>
        <item x="96"/>
        <item x="101"/>
        <item x="77"/>
        <item x="98"/>
        <item x="16"/>
        <item x="97"/>
        <item x="99"/>
        <item x="75"/>
        <item t="default"/>
      </items>
    </pivotField>
    <pivotField dataField="1" showAll="0">
      <items count="112">
        <item x="52"/>
        <item x="39"/>
        <item x="109"/>
        <item x="10"/>
        <item x="28"/>
        <item x="60"/>
        <item x="43"/>
        <item x="34"/>
        <item x="23"/>
        <item x="90"/>
        <item x="73"/>
        <item x="21"/>
        <item x="72"/>
        <item x="84"/>
        <item x="37"/>
        <item x="103"/>
        <item x="82"/>
        <item x="18"/>
        <item x="17"/>
        <item x="12"/>
        <item x="25"/>
        <item x="54"/>
        <item x="78"/>
        <item x="24"/>
        <item x="88"/>
        <item x="26"/>
        <item x="67"/>
        <item x="8"/>
        <item x="70"/>
        <item x="33"/>
        <item x="53"/>
        <item x="13"/>
        <item x="58"/>
        <item x="42"/>
        <item x="41"/>
        <item x="63"/>
        <item x="4"/>
        <item x="57"/>
        <item x="94"/>
        <item x="7"/>
        <item x="3"/>
        <item x="86"/>
        <item x="47"/>
        <item x="14"/>
        <item x="59"/>
        <item x="92"/>
        <item x="64"/>
        <item x="20"/>
        <item x="79"/>
        <item x="80"/>
        <item x="105"/>
        <item x="87"/>
        <item x="38"/>
        <item x="85"/>
        <item x="110"/>
        <item x="29"/>
        <item x="11"/>
        <item x="106"/>
        <item x="55"/>
        <item x="45"/>
        <item x="49"/>
        <item x="9"/>
        <item x="56"/>
        <item x="2"/>
        <item x="102"/>
        <item x="100"/>
        <item x="74"/>
        <item x="19"/>
        <item x="22"/>
        <item x="0"/>
        <item x="69"/>
        <item x="66"/>
        <item x="44"/>
        <item x="107"/>
        <item x="108"/>
        <item x="35"/>
        <item x="104"/>
        <item x="32"/>
        <item x="15"/>
        <item x="36"/>
        <item x="68"/>
        <item x="31"/>
        <item x="1"/>
        <item x="93"/>
        <item x="83"/>
        <item x="89"/>
        <item x="40"/>
        <item x="5"/>
        <item x="46"/>
        <item x="48"/>
        <item x="51"/>
        <item x="65"/>
        <item x="6"/>
        <item x="61"/>
        <item x="30"/>
        <item x="50"/>
        <item x="62"/>
        <item x="76"/>
        <item x="71"/>
        <item x="91"/>
        <item x="81"/>
        <item x="27"/>
        <item x="95"/>
        <item x="96"/>
        <item x="101"/>
        <item x="77"/>
        <item x="98"/>
        <item x="16"/>
        <item x="97"/>
        <item x="99"/>
        <item x="75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UPERFICIE_HA" fld="4" baseField="0" baseItem="0"/>
    <dataField name="Suma de NRO_PREDIOS_ESTIMAD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D176-A898-46A2-854B-6E9EE6851323}">
  <dimension ref="A3:C6"/>
  <sheetViews>
    <sheetView tabSelected="1" workbookViewId="0">
      <selection activeCell="C16" sqref="C16"/>
    </sheetView>
  </sheetViews>
  <sheetFormatPr defaultColWidth="11.42578125" defaultRowHeight="12.75"/>
  <cols>
    <col min="1" max="1" width="29.28515625" bestFit="1" customWidth="1"/>
    <col min="2" max="2" width="24.5703125" bestFit="1" customWidth="1"/>
    <col min="3" max="4" width="34.28515625" bestFit="1" customWidth="1"/>
    <col min="5" max="7" width="12" bestFit="1" customWidth="1"/>
    <col min="8" max="8" width="11" bestFit="1" customWidth="1"/>
    <col min="9" max="32" width="12" bestFit="1" customWidth="1"/>
    <col min="33" max="33" width="11" bestFit="1" customWidth="1"/>
    <col min="34" max="36" width="12" bestFit="1" customWidth="1"/>
    <col min="37" max="37" width="11" bestFit="1" customWidth="1"/>
    <col min="38" max="38" width="12" bestFit="1" customWidth="1"/>
    <col min="39" max="40" width="11" bestFit="1" customWidth="1"/>
    <col min="41" max="41" width="12" bestFit="1" customWidth="1"/>
    <col min="42" max="42" width="11" bestFit="1" customWidth="1"/>
    <col min="43" max="44" width="12" bestFit="1" customWidth="1"/>
    <col min="45" max="45" width="11" bestFit="1" customWidth="1"/>
    <col min="46" max="65" width="12" bestFit="1" customWidth="1"/>
    <col min="66" max="66" width="11" bestFit="1" customWidth="1"/>
    <col min="67" max="78" width="12" bestFit="1" customWidth="1"/>
    <col min="79" max="79" width="11" bestFit="1" customWidth="1"/>
    <col min="80" max="87" width="12" bestFit="1" customWidth="1"/>
    <col min="88" max="88" width="11" bestFit="1" customWidth="1"/>
    <col min="89" max="92" width="12" bestFit="1" customWidth="1"/>
    <col min="93" max="93" width="11" bestFit="1" customWidth="1"/>
    <col min="94" max="111" width="12" bestFit="1" customWidth="1"/>
    <col min="112" max="112" width="11" bestFit="1" customWidth="1"/>
    <col min="113" max="114" width="13.140625" bestFit="1" customWidth="1"/>
  </cols>
  <sheetData>
    <row r="3" spans="1:3">
      <c r="A3" s="1" t="s">
        <v>0</v>
      </c>
      <c r="B3" t="s">
        <v>1</v>
      </c>
      <c r="C3" t="s">
        <v>2</v>
      </c>
    </row>
    <row r="4" spans="1:3">
      <c r="A4" s="3" t="s">
        <v>3</v>
      </c>
      <c r="B4" s="2">
        <v>53073.082673850542</v>
      </c>
      <c r="C4" s="2">
        <v>10614.616534770112</v>
      </c>
    </row>
    <row r="5" spans="1:3">
      <c r="A5" s="3" t="s">
        <v>4</v>
      </c>
      <c r="B5" s="2">
        <v>330353.60555208073</v>
      </c>
      <c r="C5" s="2">
        <v>66070.721110416169</v>
      </c>
    </row>
    <row r="6" spans="1:3">
      <c r="A6" s="3" t="s">
        <v>5</v>
      </c>
      <c r="B6" s="2">
        <v>383426.68822593126</v>
      </c>
      <c r="C6" s="2">
        <v>76685.337645186286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opLeftCell="A109" workbookViewId="0">
      <selection sqref="A1:G1"/>
    </sheetView>
  </sheetViews>
  <sheetFormatPr defaultColWidth="11.42578125" defaultRowHeight="12.75"/>
  <cols>
    <col min="1" max="1" width="29.28515625" bestFit="1" customWidth="1"/>
    <col min="2" max="2" width="16.42578125" bestFit="1" customWidth="1"/>
    <col min="3" max="5" width="15"/>
    <col min="6" max="6" width="25.140625" bestFit="1" customWidth="1"/>
    <col min="7" max="1023" width="15"/>
  </cols>
  <sheetData>
    <row r="1" spans="1:7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</row>
    <row r="2" spans="1:7">
      <c r="A2" s="4" t="s">
        <v>4</v>
      </c>
      <c r="B2" s="4" t="s">
        <v>13</v>
      </c>
      <c r="C2" s="4" t="s">
        <v>13</v>
      </c>
      <c r="D2" s="4" t="s">
        <v>13</v>
      </c>
      <c r="E2" s="4">
        <v>2665.0811648583749</v>
      </c>
      <c r="F2" s="4">
        <f>E2/5</f>
        <v>533.01623297167498</v>
      </c>
      <c r="G2" s="4" t="s">
        <v>14</v>
      </c>
    </row>
    <row r="3" spans="1:7">
      <c r="A3" s="4" t="s">
        <v>4</v>
      </c>
      <c r="B3" s="4" t="s">
        <v>13</v>
      </c>
      <c r="C3" s="4" t="s">
        <v>13</v>
      </c>
      <c r="D3" s="4" t="s">
        <v>15</v>
      </c>
      <c r="E3" s="4">
        <v>4332.8725618806548</v>
      </c>
      <c r="F3" s="4">
        <f t="shared" ref="F3:F66" si="0">E3/5</f>
        <v>866.574512376131</v>
      </c>
      <c r="G3" s="4" t="s">
        <v>14</v>
      </c>
    </row>
    <row r="4" spans="1:7">
      <c r="A4" s="4" t="s">
        <v>4</v>
      </c>
      <c r="B4" s="4" t="s">
        <v>13</v>
      </c>
      <c r="C4" s="4" t="s">
        <v>13</v>
      </c>
      <c r="D4" s="4" t="s">
        <v>16</v>
      </c>
      <c r="E4" s="4">
        <v>2154.5343928674779</v>
      </c>
      <c r="F4" s="4">
        <f t="shared" si="0"/>
        <v>430.90687857349559</v>
      </c>
      <c r="G4" s="4" t="s">
        <v>14</v>
      </c>
    </row>
    <row r="5" spans="1:7">
      <c r="A5" s="4" t="s">
        <v>4</v>
      </c>
      <c r="B5" s="4" t="s">
        <v>13</v>
      </c>
      <c r="C5" s="4" t="s">
        <v>13</v>
      </c>
      <c r="D5" s="4" t="s">
        <v>17</v>
      </c>
      <c r="E5" s="4">
        <v>596.75002398986362</v>
      </c>
      <c r="F5" s="4">
        <f t="shared" si="0"/>
        <v>119.35000479797273</v>
      </c>
      <c r="G5" s="4" t="s">
        <v>14</v>
      </c>
    </row>
    <row r="6" spans="1:7">
      <c r="A6" s="4" t="s">
        <v>3</v>
      </c>
      <c r="B6" s="4" t="s">
        <v>13</v>
      </c>
      <c r="C6" s="4" t="s">
        <v>13</v>
      </c>
      <c r="D6" s="4" t="s">
        <v>18</v>
      </c>
      <c r="E6" s="4">
        <v>418.59362018604583</v>
      </c>
      <c r="F6" s="4">
        <f t="shared" si="0"/>
        <v>83.718724037209171</v>
      </c>
      <c r="G6" s="4" t="s">
        <v>14</v>
      </c>
    </row>
    <row r="7" spans="1:7">
      <c r="A7" s="4" t="s">
        <v>4</v>
      </c>
      <c r="B7" s="4" t="s">
        <v>13</v>
      </c>
      <c r="C7" s="4" t="s">
        <v>13</v>
      </c>
      <c r="D7" s="4" t="s">
        <v>18</v>
      </c>
      <c r="E7" s="4">
        <v>4986.7296963214394</v>
      </c>
      <c r="F7" s="4">
        <f t="shared" si="0"/>
        <v>997.34593926428784</v>
      </c>
      <c r="G7" s="4" t="s">
        <v>14</v>
      </c>
    </row>
    <row r="8" spans="1:7">
      <c r="A8" s="4" t="s">
        <v>4</v>
      </c>
      <c r="B8" s="4" t="s">
        <v>13</v>
      </c>
      <c r="C8" s="4" t="s">
        <v>13</v>
      </c>
      <c r="D8" s="4" t="s">
        <v>19</v>
      </c>
      <c r="E8" s="4">
        <v>5616.8900962356875</v>
      </c>
      <c r="F8" s="4">
        <f t="shared" si="0"/>
        <v>1123.3780192471374</v>
      </c>
      <c r="G8" s="4" t="s">
        <v>14</v>
      </c>
    </row>
    <row r="9" spans="1:7">
      <c r="A9" s="4" t="s">
        <v>4</v>
      </c>
      <c r="B9" s="4" t="s">
        <v>13</v>
      </c>
      <c r="C9" s="4" t="s">
        <v>13</v>
      </c>
      <c r="D9" s="4" t="s">
        <v>20</v>
      </c>
      <c r="E9" s="4">
        <v>552.14252205097114</v>
      </c>
      <c r="F9" s="4">
        <f t="shared" si="0"/>
        <v>110.42850441019422</v>
      </c>
      <c r="G9" s="4" t="s">
        <v>14</v>
      </c>
    </row>
    <row r="10" spans="1:7">
      <c r="A10" s="4" t="s">
        <v>4</v>
      </c>
      <c r="B10" s="4" t="s">
        <v>13</v>
      </c>
      <c r="C10" s="4" t="s">
        <v>13</v>
      </c>
      <c r="D10" s="4" t="s">
        <v>21</v>
      </c>
      <c r="E10" s="4">
        <v>179.15620107659521</v>
      </c>
      <c r="F10" s="4">
        <f t="shared" si="0"/>
        <v>35.831240215319042</v>
      </c>
      <c r="G10" s="4" t="s">
        <v>14</v>
      </c>
    </row>
    <row r="11" spans="1:7">
      <c r="A11" s="4" t="s">
        <v>4</v>
      </c>
      <c r="B11" s="4" t="s">
        <v>13</v>
      </c>
      <c r="C11" s="4" t="s">
        <v>13</v>
      </c>
      <c r="D11" s="4" t="s">
        <v>22</v>
      </c>
      <c r="E11" s="4">
        <v>1989.5397261060441</v>
      </c>
      <c r="F11" s="4">
        <f t="shared" si="0"/>
        <v>397.90794522120882</v>
      </c>
      <c r="G11" s="4" t="s">
        <v>14</v>
      </c>
    </row>
    <row r="12" spans="1:7">
      <c r="A12" s="4" t="s">
        <v>3</v>
      </c>
      <c r="B12" s="4" t="s">
        <v>13</v>
      </c>
      <c r="C12" s="4" t="s">
        <v>23</v>
      </c>
      <c r="D12" s="4" t="s">
        <v>24</v>
      </c>
      <c r="E12" s="4">
        <v>2.983060607044445</v>
      </c>
      <c r="F12" s="4">
        <f t="shared" si="0"/>
        <v>0.59661212140888897</v>
      </c>
      <c r="G12" s="4" t="s">
        <v>14</v>
      </c>
    </row>
    <row r="13" spans="1:7">
      <c r="A13" s="4" t="s">
        <v>4</v>
      </c>
      <c r="B13" s="4" t="s">
        <v>13</v>
      </c>
      <c r="C13" s="4" t="s">
        <v>23</v>
      </c>
      <c r="D13" s="4" t="s">
        <v>24</v>
      </c>
      <c r="E13" s="4">
        <v>1643.41774266071</v>
      </c>
      <c r="F13" s="4">
        <f t="shared" si="0"/>
        <v>328.68354853214203</v>
      </c>
      <c r="G13" s="4" t="s">
        <v>14</v>
      </c>
    </row>
    <row r="14" spans="1:7">
      <c r="A14" s="4" t="s">
        <v>3</v>
      </c>
      <c r="B14" s="4" t="s">
        <v>13</v>
      </c>
      <c r="C14" s="4" t="s">
        <v>23</v>
      </c>
      <c r="D14" s="4" t="s">
        <v>25</v>
      </c>
      <c r="E14" s="4">
        <v>46.743499918139811</v>
      </c>
      <c r="F14" s="4">
        <f t="shared" si="0"/>
        <v>9.348699983627963</v>
      </c>
      <c r="G14" s="4" t="s">
        <v>14</v>
      </c>
    </row>
    <row r="15" spans="1:7">
      <c r="A15" s="4" t="s">
        <v>4</v>
      </c>
      <c r="B15" s="4" t="s">
        <v>13</v>
      </c>
      <c r="C15" s="4" t="s">
        <v>23</v>
      </c>
      <c r="D15" s="4" t="s">
        <v>25</v>
      </c>
      <c r="E15" s="4">
        <v>324.30636501962681</v>
      </c>
      <c r="F15" s="4">
        <f t="shared" si="0"/>
        <v>64.861273003925362</v>
      </c>
      <c r="G15" s="4" t="s">
        <v>14</v>
      </c>
    </row>
    <row r="16" spans="1:7">
      <c r="A16" s="4" t="s">
        <v>4</v>
      </c>
      <c r="B16" s="4" t="s">
        <v>13</v>
      </c>
      <c r="C16" s="4" t="s">
        <v>23</v>
      </c>
      <c r="D16" s="4" t="s">
        <v>26</v>
      </c>
      <c r="E16" s="4">
        <v>800.63276300431608</v>
      </c>
      <c r="F16" s="4">
        <f t="shared" si="0"/>
        <v>160.12655260086322</v>
      </c>
      <c r="G16" s="4" t="s">
        <v>14</v>
      </c>
    </row>
    <row r="17" spans="1:7">
      <c r="A17" s="4" t="s">
        <v>3</v>
      </c>
      <c r="B17" s="4" t="s">
        <v>13</v>
      </c>
      <c r="C17" s="4" t="s">
        <v>27</v>
      </c>
      <c r="D17" s="4" t="s">
        <v>28</v>
      </c>
      <c r="E17" s="4">
        <v>3718.3769710211732</v>
      </c>
      <c r="F17" s="4">
        <f t="shared" si="0"/>
        <v>743.67539420423464</v>
      </c>
      <c r="G17" s="4" t="s">
        <v>14</v>
      </c>
    </row>
    <row r="18" spans="1:7">
      <c r="A18" s="4" t="s">
        <v>4</v>
      </c>
      <c r="B18" s="4" t="s">
        <v>13</v>
      </c>
      <c r="C18" s="4" t="s">
        <v>27</v>
      </c>
      <c r="D18" s="4" t="s">
        <v>28</v>
      </c>
      <c r="E18" s="4">
        <v>23383.618168948171</v>
      </c>
      <c r="F18" s="4">
        <f t="shared" si="0"/>
        <v>4676.7236337896338</v>
      </c>
      <c r="G18" s="4" t="s">
        <v>14</v>
      </c>
    </row>
    <row r="19" spans="1:7">
      <c r="A19" s="4" t="s">
        <v>4</v>
      </c>
      <c r="B19" s="4" t="s">
        <v>13</v>
      </c>
      <c r="C19" s="4" t="s">
        <v>29</v>
      </c>
      <c r="D19" s="4" t="s">
        <v>30</v>
      </c>
      <c r="E19" s="4">
        <v>38.48398209267458</v>
      </c>
      <c r="F19" s="4">
        <f t="shared" si="0"/>
        <v>7.696796418534916</v>
      </c>
      <c r="G19" s="4" t="s">
        <v>14</v>
      </c>
    </row>
    <row r="20" spans="1:7">
      <c r="A20" s="4" t="s">
        <v>4</v>
      </c>
      <c r="B20" s="4" t="s">
        <v>13</v>
      </c>
      <c r="C20" s="4" t="s">
        <v>29</v>
      </c>
      <c r="D20" s="4" t="s">
        <v>31</v>
      </c>
      <c r="E20" s="4">
        <v>37.239844118376539</v>
      </c>
      <c r="F20" s="4">
        <f t="shared" si="0"/>
        <v>7.4479688236753079</v>
      </c>
      <c r="G20" s="4" t="s">
        <v>14</v>
      </c>
    </row>
    <row r="21" spans="1:7">
      <c r="A21" s="4" t="s">
        <v>4</v>
      </c>
      <c r="B21" s="4" t="s">
        <v>13</v>
      </c>
      <c r="C21" s="4" t="s">
        <v>29</v>
      </c>
      <c r="D21" s="4" t="s">
        <v>32</v>
      </c>
      <c r="E21" s="4">
        <v>2404.1564511804868</v>
      </c>
      <c r="F21" s="4">
        <f t="shared" si="0"/>
        <v>480.83129023609735</v>
      </c>
      <c r="G21" s="4" t="s">
        <v>14</v>
      </c>
    </row>
    <row r="22" spans="1:7">
      <c r="A22" s="4" t="s">
        <v>4</v>
      </c>
      <c r="B22" s="4" t="s">
        <v>13</v>
      </c>
      <c r="C22" s="4" t="s">
        <v>29</v>
      </c>
      <c r="D22" s="4" t="s">
        <v>33</v>
      </c>
      <c r="E22" s="4">
        <v>925.93951405315659</v>
      </c>
      <c r="F22" s="4">
        <f t="shared" si="0"/>
        <v>185.18790281063133</v>
      </c>
      <c r="G22" s="4" t="s">
        <v>14</v>
      </c>
    </row>
    <row r="23" spans="1:7">
      <c r="A23" s="4" t="s">
        <v>4</v>
      </c>
      <c r="B23" s="4" t="s">
        <v>13</v>
      </c>
      <c r="C23" s="4" t="s">
        <v>29</v>
      </c>
      <c r="D23" s="4" t="s">
        <v>34</v>
      </c>
      <c r="E23" s="4">
        <v>19.426000038891861</v>
      </c>
      <c r="F23" s="4">
        <f t="shared" si="0"/>
        <v>3.8852000077783719</v>
      </c>
      <c r="G23" s="4" t="s">
        <v>14</v>
      </c>
    </row>
    <row r="24" spans="1:7">
      <c r="A24" s="4" t="s">
        <v>4</v>
      </c>
      <c r="B24" s="4" t="s">
        <v>13</v>
      </c>
      <c r="C24" s="4" t="s">
        <v>29</v>
      </c>
      <c r="D24" s="4" t="s">
        <v>35</v>
      </c>
      <c r="E24" s="4">
        <v>2412.5872782299298</v>
      </c>
      <c r="F24" s="4">
        <f t="shared" si="0"/>
        <v>482.51745564598593</v>
      </c>
      <c r="G24" s="4" t="s">
        <v>14</v>
      </c>
    </row>
    <row r="25" spans="1:7">
      <c r="A25" s="4" t="s">
        <v>4</v>
      </c>
      <c r="B25" s="4" t="s">
        <v>13</v>
      </c>
      <c r="C25" s="4" t="s">
        <v>36</v>
      </c>
      <c r="D25" s="4" t="s">
        <v>37</v>
      </c>
      <c r="E25" s="4">
        <v>7.4243977389322291</v>
      </c>
      <c r="F25" s="4">
        <f t="shared" si="0"/>
        <v>1.4848795477864458</v>
      </c>
      <c r="G25" s="4" t="s">
        <v>14</v>
      </c>
    </row>
    <row r="26" spans="1:7">
      <c r="A26" s="4" t="s">
        <v>4</v>
      </c>
      <c r="B26" s="4" t="s">
        <v>13</v>
      </c>
      <c r="C26" s="4" t="s">
        <v>36</v>
      </c>
      <c r="D26" s="4" t="s">
        <v>38</v>
      </c>
      <c r="E26" s="4">
        <v>79.9403850911999</v>
      </c>
      <c r="F26" s="4">
        <f t="shared" si="0"/>
        <v>15.988077018239981</v>
      </c>
      <c r="G26" s="4" t="s">
        <v>14</v>
      </c>
    </row>
    <row r="27" spans="1:7">
      <c r="A27" s="4" t="s">
        <v>4</v>
      </c>
      <c r="B27" s="4" t="s">
        <v>13</v>
      </c>
      <c r="C27" s="4" t="s">
        <v>36</v>
      </c>
      <c r="D27" s="4" t="s">
        <v>39</v>
      </c>
      <c r="E27" s="4">
        <v>55.838998121694203</v>
      </c>
      <c r="F27" s="4">
        <f t="shared" si="0"/>
        <v>11.167799624338841</v>
      </c>
      <c r="G27" s="4" t="s">
        <v>14</v>
      </c>
    </row>
    <row r="28" spans="1:7">
      <c r="A28" s="4" t="s">
        <v>3</v>
      </c>
      <c r="B28" s="4" t="s">
        <v>13</v>
      </c>
      <c r="C28" s="4" t="s">
        <v>13</v>
      </c>
      <c r="D28" s="4" t="s">
        <v>40</v>
      </c>
      <c r="E28" s="4">
        <v>120.03667066611359</v>
      </c>
      <c r="F28" s="4">
        <f t="shared" si="0"/>
        <v>24.00733413322272</v>
      </c>
      <c r="G28" s="4" t="s">
        <v>14</v>
      </c>
    </row>
    <row r="29" spans="1:7">
      <c r="A29" s="4" t="s">
        <v>4</v>
      </c>
      <c r="B29" s="4" t="s">
        <v>13</v>
      </c>
      <c r="C29" s="4" t="s">
        <v>13</v>
      </c>
      <c r="D29" s="4" t="s">
        <v>40</v>
      </c>
      <c r="E29" s="4">
        <v>10626.04613024824</v>
      </c>
      <c r="F29" s="4">
        <f t="shared" si="0"/>
        <v>2125.2092260496479</v>
      </c>
      <c r="G29" s="4" t="s">
        <v>14</v>
      </c>
    </row>
    <row r="30" spans="1:7">
      <c r="A30" s="4" t="s">
        <v>4</v>
      </c>
      <c r="B30" s="4" t="s">
        <v>13</v>
      </c>
      <c r="C30" s="4" t="s">
        <v>23</v>
      </c>
      <c r="D30" s="4" t="s">
        <v>41</v>
      </c>
      <c r="E30" s="4">
        <v>3.1703293225711908</v>
      </c>
      <c r="F30" s="4">
        <f t="shared" si="0"/>
        <v>0.63406586451423819</v>
      </c>
      <c r="G30" s="4" t="s">
        <v>14</v>
      </c>
    </row>
    <row r="31" spans="1:7">
      <c r="A31" s="4" t="s">
        <v>4</v>
      </c>
      <c r="B31" s="4" t="s">
        <v>13</v>
      </c>
      <c r="C31" s="4" t="s">
        <v>13</v>
      </c>
      <c r="D31" s="4" t="s">
        <v>42</v>
      </c>
      <c r="E31" s="4">
        <v>1559.2939116384939</v>
      </c>
      <c r="F31" s="4">
        <f t="shared" si="0"/>
        <v>311.8587823276988</v>
      </c>
      <c r="G31" s="4" t="s">
        <v>14</v>
      </c>
    </row>
    <row r="32" spans="1:7">
      <c r="A32" s="4" t="s">
        <v>3</v>
      </c>
      <c r="B32" s="4" t="s">
        <v>13</v>
      </c>
      <c r="C32" s="4" t="s">
        <v>27</v>
      </c>
      <c r="D32" s="4" t="s">
        <v>43</v>
      </c>
      <c r="E32" s="4">
        <v>6457.4562294338793</v>
      </c>
      <c r="F32" s="4">
        <f t="shared" si="0"/>
        <v>1291.4912458867759</v>
      </c>
      <c r="G32" s="4" t="s">
        <v>14</v>
      </c>
    </row>
    <row r="33" spans="1:7">
      <c r="A33" s="4" t="s">
        <v>4</v>
      </c>
      <c r="B33" s="4" t="s">
        <v>13</v>
      </c>
      <c r="C33" s="4" t="s">
        <v>27</v>
      </c>
      <c r="D33" s="4" t="s">
        <v>43</v>
      </c>
      <c r="E33" s="4">
        <v>4289.212509412172</v>
      </c>
      <c r="F33" s="4">
        <f t="shared" si="0"/>
        <v>857.84250188243436</v>
      </c>
      <c r="G33" s="4" t="s">
        <v>14</v>
      </c>
    </row>
    <row r="34" spans="1:7">
      <c r="A34" s="4" t="s">
        <v>4</v>
      </c>
      <c r="B34" s="4" t="s">
        <v>13</v>
      </c>
      <c r="C34" s="4" t="s">
        <v>13</v>
      </c>
      <c r="D34" s="4" t="s">
        <v>44</v>
      </c>
      <c r="E34" s="4">
        <v>3622.7295300231472</v>
      </c>
      <c r="F34" s="4">
        <f t="shared" si="0"/>
        <v>724.54590600462939</v>
      </c>
      <c r="G34" s="4" t="s">
        <v>14</v>
      </c>
    </row>
    <row r="35" spans="1:7">
      <c r="A35" s="4" t="s">
        <v>4</v>
      </c>
      <c r="B35" s="4" t="s">
        <v>13</v>
      </c>
      <c r="C35" s="4" t="s">
        <v>23</v>
      </c>
      <c r="D35" s="4" t="s">
        <v>45</v>
      </c>
      <c r="E35" s="4">
        <v>304.70115183753211</v>
      </c>
      <c r="F35" s="4">
        <f t="shared" si="0"/>
        <v>60.940230367506423</v>
      </c>
      <c r="G35" s="4" t="s">
        <v>14</v>
      </c>
    </row>
    <row r="36" spans="1:7">
      <c r="A36" s="4" t="s">
        <v>3</v>
      </c>
      <c r="B36" s="4" t="s">
        <v>13</v>
      </c>
      <c r="C36" s="4" t="s">
        <v>46</v>
      </c>
      <c r="D36" s="4" t="s">
        <v>47</v>
      </c>
      <c r="E36" s="4">
        <v>6.4050210268167724</v>
      </c>
      <c r="F36" s="4">
        <f t="shared" si="0"/>
        <v>1.2810042053633546</v>
      </c>
      <c r="G36" s="4" t="s">
        <v>14</v>
      </c>
    </row>
    <row r="37" spans="1:7">
      <c r="A37" s="4" t="s">
        <v>4</v>
      </c>
      <c r="B37" s="4" t="s">
        <v>13</v>
      </c>
      <c r="C37" s="4" t="s">
        <v>46</v>
      </c>
      <c r="D37" s="4" t="s">
        <v>47</v>
      </c>
      <c r="E37" s="4">
        <v>3176.118533701102</v>
      </c>
      <c r="F37" s="4">
        <f t="shared" si="0"/>
        <v>635.22370674022045</v>
      </c>
      <c r="G37" s="4" t="s">
        <v>14</v>
      </c>
    </row>
    <row r="38" spans="1:7">
      <c r="A38" s="4" t="s">
        <v>4</v>
      </c>
      <c r="B38" s="4" t="s">
        <v>13</v>
      </c>
      <c r="C38" s="4" t="s">
        <v>48</v>
      </c>
      <c r="D38" s="4" t="s">
        <v>49</v>
      </c>
      <c r="E38" s="4">
        <v>4071.504851246124</v>
      </c>
      <c r="F38" s="4">
        <f t="shared" si="0"/>
        <v>814.30097024922475</v>
      </c>
      <c r="G38" s="4" t="s">
        <v>14</v>
      </c>
    </row>
    <row r="39" spans="1:7">
      <c r="A39" s="4" t="s">
        <v>3</v>
      </c>
      <c r="B39" s="4" t="s">
        <v>13</v>
      </c>
      <c r="C39" s="4" t="s">
        <v>23</v>
      </c>
      <c r="D39" s="4" t="s">
        <v>50</v>
      </c>
      <c r="E39" s="4">
        <v>26.052918110755851</v>
      </c>
      <c r="F39" s="4">
        <f t="shared" si="0"/>
        <v>5.2105836221511703</v>
      </c>
      <c r="G39" s="4" t="s">
        <v>14</v>
      </c>
    </row>
    <row r="40" spans="1:7">
      <c r="A40" s="4" t="s">
        <v>4</v>
      </c>
      <c r="B40" s="4" t="s">
        <v>13</v>
      </c>
      <c r="C40" s="4" t="s">
        <v>23</v>
      </c>
      <c r="D40" s="4" t="s">
        <v>50</v>
      </c>
      <c r="E40" s="4">
        <v>1439.541894969306</v>
      </c>
      <c r="F40" s="4">
        <f t="shared" si="0"/>
        <v>287.90837899386122</v>
      </c>
      <c r="G40" s="4" t="s">
        <v>14</v>
      </c>
    </row>
    <row r="41" spans="1:7">
      <c r="A41" s="4" t="s">
        <v>3</v>
      </c>
      <c r="B41" s="4" t="s">
        <v>13</v>
      </c>
      <c r="C41" s="4" t="s">
        <v>46</v>
      </c>
      <c r="D41" s="4" t="s">
        <v>51</v>
      </c>
      <c r="E41" s="4">
        <v>1.5588962115572771</v>
      </c>
      <c r="F41" s="4">
        <f t="shared" si="0"/>
        <v>0.31177924231145543</v>
      </c>
      <c r="G41" s="4" t="s">
        <v>14</v>
      </c>
    </row>
    <row r="42" spans="1:7">
      <c r="A42" s="4" t="s">
        <v>4</v>
      </c>
      <c r="B42" s="4" t="s">
        <v>13</v>
      </c>
      <c r="C42" s="4" t="s">
        <v>46</v>
      </c>
      <c r="D42" s="4" t="s">
        <v>51</v>
      </c>
      <c r="E42" s="4">
        <v>4928.0158697778152</v>
      </c>
      <c r="F42" s="4">
        <f t="shared" si="0"/>
        <v>985.60317395556308</v>
      </c>
      <c r="G42" s="4" t="s">
        <v>14</v>
      </c>
    </row>
    <row r="43" spans="1:7">
      <c r="A43" s="4" t="s">
        <v>4</v>
      </c>
      <c r="B43" s="4" t="s">
        <v>13</v>
      </c>
      <c r="C43" s="4" t="s">
        <v>46</v>
      </c>
      <c r="D43" s="4" t="s">
        <v>52</v>
      </c>
      <c r="E43" s="4">
        <v>377.8352671237468</v>
      </c>
      <c r="F43" s="4">
        <f t="shared" si="0"/>
        <v>75.567053424749361</v>
      </c>
      <c r="G43" s="4" t="s">
        <v>14</v>
      </c>
    </row>
    <row r="44" spans="1:7">
      <c r="A44" s="4" t="s">
        <v>4</v>
      </c>
      <c r="B44" s="4" t="s">
        <v>13</v>
      </c>
      <c r="C44" s="4" t="s">
        <v>46</v>
      </c>
      <c r="D44" s="4" t="s">
        <v>53</v>
      </c>
      <c r="E44" s="4">
        <v>335.27814132931741</v>
      </c>
      <c r="F44" s="4">
        <f t="shared" si="0"/>
        <v>67.055628265863476</v>
      </c>
      <c r="G44" s="4" t="s">
        <v>14</v>
      </c>
    </row>
    <row r="45" spans="1:7">
      <c r="A45" s="4" t="s">
        <v>4</v>
      </c>
      <c r="B45" s="4" t="s">
        <v>13</v>
      </c>
      <c r="C45" s="4" t="s">
        <v>46</v>
      </c>
      <c r="D45" s="4" t="s">
        <v>54</v>
      </c>
      <c r="E45" s="4">
        <v>5.6682094301521007</v>
      </c>
      <c r="F45" s="4">
        <f t="shared" si="0"/>
        <v>1.13364188603042</v>
      </c>
      <c r="G45" s="4" t="s">
        <v>14</v>
      </c>
    </row>
    <row r="46" spans="1:7">
      <c r="A46" s="4" t="s">
        <v>4</v>
      </c>
      <c r="B46" s="4" t="s">
        <v>13</v>
      </c>
      <c r="C46" s="4" t="s">
        <v>48</v>
      </c>
      <c r="D46" s="4" t="s">
        <v>55</v>
      </c>
      <c r="E46" s="4">
        <v>2996.8022655139171</v>
      </c>
      <c r="F46" s="4">
        <f t="shared" si="0"/>
        <v>599.36045310278337</v>
      </c>
      <c r="G46" s="4" t="s">
        <v>14</v>
      </c>
    </row>
    <row r="47" spans="1:7">
      <c r="A47" s="4" t="s">
        <v>4</v>
      </c>
      <c r="B47" s="4" t="s">
        <v>13</v>
      </c>
      <c r="C47" s="4" t="s">
        <v>46</v>
      </c>
      <c r="D47" s="4" t="s">
        <v>56</v>
      </c>
      <c r="E47" s="4">
        <v>1730.660548502678</v>
      </c>
      <c r="F47" s="4">
        <f t="shared" si="0"/>
        <v>346.13210970053558</v>
      </c>
      <c r="G47" s="4" t="s">
        <v>14</v>
      </c>
    </row>
    <row r="48" spans="1:7">
      <c r="A48" s="4" t="s">
        <v>4</v>
      </c>
      <c r="B48" s="4" t="s">
        <v>13</v>
      </c>
      <c r="C48" s="4" t="s">
        <v>48</v>
      </c>
      <c r="D48" s="4" t="s">
        <v>57</v>
      </c>
      <c r="E48" s="4">
        <v>5019.4701035221278</v>
      </c>
      <c r="F48" s="4">
        <f t="shared" si="0"/>
        <v>1003.8940207044255</v>
      </c>
      <c r="G48" s="4" t="s">
        <v>14</v>
      </c>
    </row>
    <row r="49" spans="1:7">
      <c r="A49" s="4" t="s">
        <v>3</v>
      </c>
      <c r="B49" s="4" t="s">
        <v>13</v>
      </c>
      <c r="C49" s="4" t="s">
        <v>58</v>
      </c>
      <c r="D49" s="4" t="s">
        <v>59</v>
      </c>
      <c r="E49" s="4">
        <v>792.6157292702452</v>
      </c>
      <c r="F49" s="4">
        <f t="shared" si="0"/>
        <v>158.52314585404903</v>
      </c>
      <c r="G49" s="4" t="s">
        <v>14</v>
      </c>
    </row>
    <row r="50" spans="1:7">
      <c r="A50" s="4" t="s">
        <v>4</v>
      </c>
      <c r="B50" s="4" t="s">
        <v>13</v>
      </c>
      <c r="C50" s="4" t="s">
        <v>58</v>
      </c>
      <c r="D50" s="4" t="s">
        <v>59</v>
      </c>
      <c r="E50" s="4">
        <v>5369.7648510936742</v>
      </c>
      <c r="F50" s="4">
        <f t="shared" si="0"/>
        <v>1073.9529702187349</v>
      </c>
      <c r="G50" s="4" t="s">
        <v>14</v>
      </c>
    </row>
    <row r="51" spans="1:7">
      <c r="A51" s="4" t="s">
        <v>4</v>
      </c>
      <c r="B51" s="4" t="s">
        <v>13</v>
      </c>
      <c r="C51" s="4" t="s">
        <v>58</v>
      </c>
      <c r="D51" s="4" t="s">
        <v>60</v>
      </c>
      <c r="E51" s="4">
        <v>1753.8030543823249</v>
      </c>
      <c r="F51" s="4">
        <f t="shared" si="0"/>
        <v>350.76061087646497</v>
      </c>
      <c r="G51" s="4" t="s">
        <v>14</v>
      </c>
    </row>
    <row r="52" spans="1:7">
      <c r="A52" s="4" t="s">
        <v>4</v>
      </c>
      <c r="B52" s="4" t="s">
        <v>13</v>
      </c>
      <c r="C52" s="4" t="s">
        <v>61</v>
      </c>
      <c r="D52" s="4" t="s">
        <v>62</v>
      </c>
      <c r="E52" s="4">
        <v>6804.4276853184538</v>
      </c>
      <c r="F52" s="4">
        <f t="shared" si="0"/>
        <v>1360.8855370636907</v>
      </c>
      <c r="G52" s="4" t="s">
        <v>14</v>
      </c>
    </row>
    <row r="53" spans="1:7">
      <c r="A53" s="4" t="s">
        <v>4</v>
      </c>
      <c r="B53" s="4" t="s">
        <v>13</v>
      </c>
      <c r="C53" s="4" t="s">
        <v>61</v>
      </c>
      <c r="D53" s="4" t="s">
        <v>61</v>
      </c>
      <c r="E53" s="4">
        <v>5434.2584836438837</v>
      </c>
      <c r="F53" s="4">
        <f t="shared" si="0"/>
        <v>1086.8516967287767</v>
      </c>
      <c r="G53" s="4" t="s">
        <v>14</v>
      </c>
    </row>
    <row r="54" spans="1:7">
      <c r="A54" s="4" t="s">
        <v>3</v>
      </c>
      <c r="B54" s="4" t="s">
        <v>13</v>
      </c>
      <c r="C54" s="4" t="s">
        <v>61</v>
      </c>
      <c r="D54" s="4" t="s">
        <v>63</v>
      </c>
      <c r="E54" s="4">
        <v>0.6215726780508718</v>
      </c>
      <c r="F54" s="4">
        <f t="shared" si="0"/>
        <v>0.12431453561017436</v>
      </c>
      <c r="G54" s="4" t="s">
        <v>14</v>
      </c>
    </row>
    <row r="55" spans="1:7">
      <c r="A55" s="4" t="s">
        <v>4</v>
      </c>
      <c r="B55" s="4" t="s">
        <v>13</v>
      </c>
      <c r="C55" s="4" t="s">
        <v>61</v>
      </c>
      <c r="D55" s="4" t="s">
        <v>63</v>
      </c>
      <c r="E55" s="4">
        <v>322.52581427149357</v>
      </c>
      <c r="F55" s="4">
        <f t="shared" si="0"/>
        <v>64.505162854298717</v>
      </c>
      <c r="G55" s="4" t="s">
        <v>14</v>
      </c>
    </row>
    <row r="56" spans="1:7">
      <c r="A56" s="4" t="s">
        <v>4</v>
      </c>
      <c r="B56" s="4" t="s">
        <v>13</v>
      </c>
      <c r="C56" s="4" t="s">
        <v>61</v>
      </c>
      <c r="D56" s="4" t="s">
        <v>64</v>
      </c>
      <c r="E56" s="4">
        <v>62.633225325524258</v>
      </c>
      <c r="F56" s="4">
        <f t="shared" si="0"/>
        <v>12.526645065104852</v>
      </c>
      <c r="G56" s="4" t="s">
        <v>14</v>
      </c>
    </row>
    <row r="57" spans="1:7">
      <c r="A57" s="4" t="s">
        <v>4</v>
      </c>
      <c r="B57" s="4" t="s">
        <v>13</v>
      </c>
      <c r="C57" s="4" t="s">
        <v>61</v>
      </c>
      <c r="D57" s="4" t="s">
        <v>65</v>
      </c>
      <c r="E57" s="4">
        <v>1649.721689328552</v>
      </c>
      <c r="F57" s="4">
        <f t="shared" si="0"/>
        <v>329.94433786571039</v>
      </c>
      <c r="G57" s="4" t="s">
        <v>14</v>
      </c>
    </row>
    <row r="58" spans="1:7">
      <c r="A58" s="4" t="s">
        <v>4</v>
      </c>
      <c r="B58" s="4" t="s">
        <v>13</v>
      </c>
      <c r="C58" s="4" t="s">
        <v>61</v>
      </c>
      <c r="D58" s="4" t="s">
        <v>66</v>
      </c>
      <c r="E58" s="4">
        <v>2133.92267788557</v>
      </c>
      <c r="F58" s="4">
        <f t="shared" si="0"/>
        <v>426.78453557711401</v>
      </c>
      <c r="G58" s="4" t="s">
        <v>14</v>
      </c>
    </row>
    <row r="59" spans="1:7">
      <c r="A59" s="4" t="s">
        <v>4</v>
      </c>
      <c r="B59" s="4" t="s">
        <v>13</v>
      </c>
      <c r="C59" s="4" t="s">
        <v>61</v>
      </c>
      <c r="D59" s="4" t="s">
        <v>67</v>
      </c>
      <c r="E59" s="4">
        <v>484.73990900179717</v>
      </c>
      <c r="F59" s="4">
        <f t="shared" si="0"/>
        <v>96.947981800359429</v>
      </c>
      <c r="G59" s="4" t="s">
        <v>14</v>
      </c>
    </row>
    <row r="60" spans="1:7">
      <c r="A60" s="4" t="s">
        <v>4</v>
      </c>
      <c r="B60" s="4" t="s">
        <v>13</v>
      </c>
      <c r="C60" s="4" t="s">
        <v>61</v>
      </c>
      <c r="D60" s="4" t="s">
        <v>68</v>
      </c>
      <c r="E60" s="4">
        <v>332.50562933763871</v>
      </c>
      <c r="F60" s="4">
        <f t="shared" si="0"/>
        <v>66.501125867527747</v>
      </c>
      <c r="G60" s="4" t="s">
        <v>14</v>
      </c>
    </row>
    <row r="61" spans="1:7">
      <c r="A61" s="4" t="s">
        <v>4</v>
      </c>
      <c r="B61" s="4" t="s">
        <v>13</v>
      </c>
      <c r="C61" s="4" t="s">
        <v>23</v>
      </c>
      <c r="D61" s="4" t="s">
        <v>69</v>
      </c>
      <c r="E61" s="4">
        <v>846.55760989735722</v>
      </c>
      <c r="F61" s="4">
        <f t="shared" si="0"/>
        <v>169.31152197947145</v>
      </c>
      <c r="G61" s="4" t="s">
        <v>14</v>
      </c>
    </row>
    <row r="62" spans="1:7">
      <c r="A62" s="4" t="s">
        <v>4</v>
      </c>
      <c r="B62" s="4" t="s">
        <v>13</v>
      </c>
      <c r="C62" s="4" t="s">
        <v>23</v>
      </c>
      <c r="D62" s="4" t="s">
        <v>70</v>
      </c>
      <c r="E62" s="4">
        <v>4.9780706965879782</v>
      </c>
      <c r="F62" s="4">
        <f t="shared" si="0"/>
        <v>0.99561413931759568</v>
      </c>
      <c r="G62" s="4" t="s">
        <v>14</v>
      </c>
    </row>
    <row r="63" spans="1:7">
      <c r="A63" s="4" t="s">
        <v>4</v>
      </c>
      <c r="B63" s="4" t="s">
        <v>13</v>
      </c>
      <c r="C63" s="4" t="s">
        <v>27</v>
      </c>
      <c r="D63" s="4" t="s">
        <v>71</v>
      </c>
      <c r="E63" s="4">
        <v>6403.6169073055153</v>
      </c>
      <c r="F63" s="4">
        <f t="shared" si="0"/>
        <v>1280.7233814611031</v>
      </c>
      <c r="G63" s="4" t="s">
        <v>14</v>
      </c>
    </row>
    <row r="64" spans="1:7">
      <c r="A64" s="4" t="s">
        <v>4</v>
      </c>
      <c r="B64" s="4" t="s">
        <v>13</v>
      </c>
      <c r="C64" s="4" t="s">
        <v>27</v>
      </c>
      <c r="D64" s="4" t="s">
        <v>72</v>
      </c>
      <c r="E64" s="4">
        <v>7121.5839933094112</v>
      </c>
      <c r="F64" s="4">
        <f t="shared" si="0"/>
        <v>1424.3167986618823</v>
      </c>
      <c r="G64" s="4" t="s">
        <v>14</v>
      </c>
    </row>
    <row r="65" spans="1:7">
      <c r="A65" s="4" t="s">
        <v>4</v>
      </c>
      <c r="B65" s="4" t="s">
        <v>13</v>
      </c>
      <c r="C65" s="4" t="s">
        <v>29</v>
      </c>
      <c r="D65" s="4" t="s">
        <v>73</v>
      </c>
      <c r="E65" s="4">
        <v>414.43239495108628</v>
      </c>
      <c r="F65" s="4">
        <f t="shared" si="0"/>
        <v>82.886478990217256</v>
      </c>
      <c r="G65" s="4" t="s">
        <v>14</v>
      </c>
    </row>
    <row r="66" spans="1:7">
      <c r="A66" s="4" t="s">
        <v>4</v>
      </c>
      <c r="B66" s="4" t="s">
        <v>13</v>
      </c>
      <c r="C66" s="4" t="s">
        <v>29</v>
      </c>
      <c r="D66" s="4" t="s">
        <v>74</v>
      </c>
      <c r="E66" s="4">
        <v>919.02940312220971</v>
      </c>
      <c r="F66" s="4">
        <f t="shared" si="0"/>
        <v>183.80588062444195</v>
      </c>
      <c r="G66" s="4" t="s">
        <v>14</v>
      </c>
    </row>
    <row r="67" spans="1:7">
      <c r="A67" s="4" t="s">
        <v>4</v>
      </c>
      <c r="B67" s="4" t="s">
        <v>13</v>
      </c>
      <c r="C67" s="4" t="s">
        <v>36</v>
      </c>
      <c r="D67" s="4" t="s">
        <v>75</v>
      </c>
      <c r="E67" s="4">
        <v>5571.5243204980115</v>
      </c>
      <c r="F67" s="4">
        <f t="shared" ref="F67:F112" si="1">E67/5</f>
        <v>1114.3048640996024</v>
      </c>
      <c r="G67" s="4" t="s">
        <v>14</v>
      </c>
    </row>
    <row r="68" spans="1:7">
      <c r="A68" s="4" t="s">
        <v>4</v>
      </c>
      <c r="B68" s="4" t="s">
        <v>13</v>
      </c>
      <c r="C68" s="4" t="s">
        <v>36</v>
      </c>
      <c r="D68" s="4" t="s">
        <v>76</v>
      </c>
      <c r="E68" s="4">
        <v>2788.5874646049651</v>
      </c>
      <c r="F68" s="4">
        <f t="shared" si="1"/>
        <v>557.71749292099298</v>
      </c>
      <c r="G68" s="4" t="s">
        <v>14</v>
      </c>
    </row>
    <row r="69" spans="1:7">
      <c r="A69" s="4" t="s">
        <v>4</v>
      </c>
      <c r="B69" s="4" t="s">
        <v>13</v>
      </c>
      <c r="C69" s="4" t="s">
        <v>36</v>
      </c>
      <c r="D69" s="4" t="s">
        <v>77</v>
      </c>
      <c r="E69" s="4">
        <v>152.73434534330181</v>
      </c>
      <c r="F69" s="4">
        <f t="shared" si="1"/>
        <v>30.546869068660364</v>
      </c>
      <c r="G69" s="4" t="s">
        <v>14</v>
      </c>
    </row>
    <row r="70" spans="1:7">
      <c r="A70" s="4" t="s">
        <v>4</v>
      </c>
      <c r="B70" s="4" t="s">
        <v>13</v>
      </c>
      <c r="C70" s="4" t="s">
        <v>36</v>
      </c>
      <c r="D70" s="4" t="s">
        <v>78</v>
      </c>
      <c r="E70" s="4">
        <v>4081.6110023425499</v>
      </c>
      <c r="F70" s="4">
        <f t="shared" si="1"/>
        <v>816.32220046851</v>
      </c>
      <c r="G70" s="4" t="s">
        <v>14</v>
      </c>
    </row>
    <row r="71" spans="1:7">
      <c r="A71" s="4" t="s">
        <v>4</v>
      </c>
      <c r="B71" s="4" t="s">
        <v>13</v>
      </c>
      <c r="C71" s="4" t="s">
        <v>46</v>
      </c>
      <c r="D71" s="4" t="s">
        <v>79</v>
      </c>
      <c r="E71" s="4">
        <v>2731.2302729783928</v>
      </c>
      <c r="F71" s="4">
        <f t="shared" si="1"/>
        <v>546.24605459567852</v>
      </c>
      <c r="G71" s="4" t="s">
        <v>14</v>
      </c>
    </row>
    <row r="72" spans="1:7">
      <c r="A72" s="4" t="s">
        <v>3</v>
      </c>
      <c r="B72" s="4" t="s">
        <v>13</v>
      </c>
      <c r="C72" s="4" t="s">
        <v>46</v>
      </c>
      <c r="D72" s="4" t="s">
        <v>80</v>
      </c>
      <c r="E72" s="4">
        <v>195.43931468364249</v>
      </c>
      <c r="F72" s="4">
        <f t="shared" si="1"/>
        <v>39.087862936728499</v>
      </c>
      <c r="G72" s="4" t="s">
        <v>14</v>
      </c>
    </row>
    <row r="73" spans="1:7">
      <c r="A73" s="4" t="s">
        <v>4</v>
      </c>
      <c r="B73" s="4" t="s">
        <v>13</v>
      </c>
      <c r="C73" s="4" t="s">
        <v>46</v>
      </c>
      <c r="D73" s="4" t="s">
        <v>80</v>
      </c>
      <c r="E73" s="4">
        <v>7814.1650159382789</v>
      </c>
      <c r="F73" s="4">
        <f t="shared" si="1"/>
        <v>1562.8330031876558</v>
      </c>
      <c r="G73" s="4" t="s">
        <v>14</v>
      </c>
    </row>
    <row r="74" spans="1:7">
      <c r="A74" s="4" t="s">
        <v>4</v>
      </c>
      <c r="B74" s="4" t="s">
        <v>13</v>
      </c>
      <c r="C74" s="4" t="s">
        <v>46</v>
      </c>
      <c r="D74" s="4" t="s">
        <v>81</v>
      </c>
      <c r="E74" s="4">
        <v>21.029615909070991</v>
      </c>
      <c r="F74" s="4">
        <f t="shared" si="1"/>
        <v>4.2059231818141978</v>
      </c>
      <c r="G74" s="4" t="s">
        <v>14</v>
      </c>
    </row>
    <row r="75" spans="1:7">
      <c r="A75" s="4" t="s">
        <v>4</v>
      </c>
      <c r="B75" s="4" t="s">
        <v>13</v>
      </c>
      <c r="C75" s="4" t="s">
        <v>46</v>
      </c>
      <c r="D75" s="4" t="s">
        <v>82</v>
      </c>
      <c r="E75" s="4">
        <v>13.155131391274971</v>
      </c>
      <c r="F75" s="4">
        <f t="shared" si="1"/>
        <v>2.631026278254994</v>
      </c>
      <c r="G75" s="4" t="s">
        <v>14</v>
      </c>
    </row>
    <row r="76" spans="1:7">
      <c r="A76" s="4" t="s">
        <v>3</v>
      </c>
      <c r="B76" s="4" t="s">
        <v>13</v>
      </c>
      <c r="C76" s="4" t="s">
        <v>83</v>
      </c>
      <c r="D76" s="4" t="s">
        <v>83</v>
      </c>
      <c r="E76" s="4">
        <v>2340.9096906453428</v>
      </c>
      <c r="F76" s="4">
        <f t="shared" si="1"/>
        <v>468.18193812906856</v>
      </c>
      <c r="G76" s="4" t="s">
        <v>14</v>
      </c>
    </row>
    <row r="77" spans="1:7">
      <c r="A77" s="4" t="s">
        <v>4</v>
      </c>
      <c r="B77" s="4" t="s">
        <v>13</v>
      </c>
      <c r="C77" s="4" t="s">
        <v>83</v>
      </c>
      <c r="D77" s="4" t="s">
        <v>83</v>
      </c>
      <c r="E77" s="4">
        <v>27499.0976014976</v>
      </c>
      <c r="F77" s="4">
        <f t="shared" si="1"/>
        <v>5499.8195202995203</v>
      </c>
      <c r="G77" s="4" t="s">
        <v>14</v>
      </c>
    </row>
    <row r="78" spans="1:7">
      <c r="A78" s="4" t="s">
        <v>3</v>
      </c>
      <c r="B78" s="4" t="s">
        <v>13</v>
      </c>
      <c r="C78" s="4" t="s">
        <v>83</v>
      </c>
      <c r="D78" s="4" t="s">
        <v>84</v>
      </c>
      <c r="E78" s="4">
        <v>7403.479796989398</v>
      </c>
      <c r="F78" s="4">
        <f t="shared" si="1"/>
        <v>1480.6959593978795</v>
      </c>
      <c r="G78" s="4" t="s">
        <v>14</v>
      </c>
    </row>
    <row r="79" spans="1:7">
      <c r="A79" s="4" t="s">
        <v>4</v>
      </c>
      <c r="B79" s="4" t="s">
        <v>13</v>
      </c>
      <c r="C79" s="4" t="s">
        <v>83</v>
      </c>
      <c r="D79" s="4" t="s">
        <v>84</v>
      </c>
      <c r="E79" s="4">
        <v>13734.718559106959</v>
      </c>
      <c r="F79" s="4">
        <f t="shared" si="1"/>
        <v>2746.9437118213918</v>
      </c>
      <c r="G79" s="4" t="s">
        <v>14</v>
      </c>
    </row>
    <row r="80" spans="1:7">
      <c r="A80" s="4" t="s">
        <v>3</v>
      </c>
      <c r="B80" s="4" t="s">
        <v>13</v>
      </c>
      <c r="C80" s="4" t="s">
        <v>46</v>
      </c>
      <c r="D80" s="4" t="s">
        <v>85</v>
      </c>
      <c r="E80" s="4">
        <v>64.478808582300175</v>
      </c>
      <c r="F80" s="4">
        <f t="shared" si="1"/>
        <v>12.895761716460035</v>
      </c>
      <c r="G80" s="4" t="s">
        <v>14</v>
      </c>
    </row>
    <row r="81" spans="1:7">
      <c r="A81" s="4" t="s">
        <v>4</v>
      </c>
      <c r="B81" s="4" t="s">
        <v>13</v>
      </c>
      <c r="C81" s="4" t="s">
        <v>46</v>
      </c>
      <c r="D81" s="4" t="s">
        <v>85</v>
      </c>
      <c r="E81" s="4">
        <v>1065.2810831346501</v>
      </c>
      <c r="F81" s="4">
        <f t="shared" si="1"/>
        <v>213.05621662693002</v>
      </c>
      <c r="G81" s="4" t="s">
        <v>14</v>
      </c>
    </row>
    <row r="82" spans="1:7">
      <c r="A82" s="4" t="s">
        <v>3</v>
      </c>
      <c r="B82" s="4" t="s">
        <v>13</v>
      </c>
      <c r="C82" s="4" t="s">
        <v>48</v>
      </c>
      <c r="D82" s="4" t="s">
        <v>86</v>
      </c>
      <c r="E82" s="4">
        <v>1142.721083012314</v>
      </c>
      <c r="F82" s="4">
        <f t="shared" si="1"/>
        <v>228.5442166024628</v>
      </c>
      <c r="G82" s="4" t="s">
        <v>14</v>
      </c>
    </row>
    <row r="83" spans="1:7">
      <c r="A83" s="4" t="s">
        <v>4</v>
      </c>
      <c r="B83" s="4" t="s">
        <v>13</v>
      </c>
      <c r="C83" s="4" t="s">
        <v>48</v>
      </c>
      <c r="D83" s="4" t="s">
        <v>86</v>
      </c>
      <c r="E83" s="4">
        <v>8960.7454989986782</v>
      </c>
      <c r="F83" s="4">
        <f t="shared" si="1"/>
        <v>1792.1490997997357</v>
      </c>
      <c r="G83" s="4" t="s">
        <v>14</v>
      </c>
    </row>
    <row r="84" spans="1:7">
      <c r="A84" s="4" t="s">
        <v>3</v>
      </c>
      <c r="B84" s="4" t="s">
        <v>13</v>
      </c>
      <c r="C84" s="4" t="s">
        <v>87</v>
      </c>
      <c r="D84" s="4" t="s">
        <v>87</v>
      </c>
      <c r="E84" s="4">
        <v>33.388968336545247</v>
      </c>
      <c r="F84" s="4">
        <f t="shared" si="1"/>
        <v>6.6777936673090492</v>
      </c>
      <c r="G84" s="4" t="s">
        <v>14</v>
      </c>
    </row>
    <row r="85" spans="1:7">
      <c r="A85" s="4" t="s">
        <v>4</v>
      </c>
      <c r="B85" s="4" t="s">
        <v>13</v>
      </c>
      <c r="C85" s="4" t="s">
        <v>87</v>
      </c>
      <c r="D85" s="4" t="s">
        <v>87</v>
      </c>
      <c r="E85" s="4">
        <v>4610.0344219259459</v>
      </c>
      <c r="F85" s="4">
        <f t="shared" si="1"/>
        <v>922.00688438518921</v>
      </c>
      <c r="G85" s="4" t="s">
        <v>14</v>
      </c>
    </row>
    <row r="86" spans="1:7">
      <c r="A86" s="4" t="s">
        <v>3</v>
      </c>
      <c r="B86" s="4" t="s">
        <v>13</v>
      </c>
      <c r="C86" s="4" t="s">
        <v>87</v>
      </c>
      <c r="D86" s="4" t="s">
        <v>88</v>
      </c>
      <c r="E86" s="4">
        <v>24.351223275432829</v>
      </c>
      <c r="F86" s="4">
        <f t="shared" si="1"/>
        <v>4.8702446550865659</v>
      </c>
      <c r="G86" s="4" t="s">
        <v>14</v>
      </c>
    </row>
    <row r="87" spans="1:7">
      <c r="A87" s="4" t="s">
        <v>4</v>
      </c>
      <c r="B87" s="4" t="s">
        <v>13</v>
      </c>
      <c r="C87" s="4" t="s">
        <v>87</v>
      </c>
      <c r="D87" s="4" t="s">
        <v>88</v>
      </c>
      <c r="E87" s="4">
        <v>1486.931915780794</v>
      </c>
      <c r="F87" s="4">
        <f t="shared" si="1"/>
        <v>297.38638315615879</v>
      </c>
      <c r="G87" s="4" t="s">
        <v>14</v>
      </c>
    </row>
    <row r="88" spans="1:7">
      <c r="A88" s="4" t="s">
        <v>3</v>
      </c>
      <c r="B88" s="4" t="s">
        <v>13</v>
      </c>
      <c r="C88" s="4" t="s">
        <v>87</v>
      </c>
      <c r="D88" s="4" t="s">
        <v>89</v>
      </c>
      <c r="E88" s="4">
        <v>750.99704670935512</v>
      </c>
      <c r="F88" s="4">
        <f t="shared" si="1"/>
        <v>150.19940934187102</v>
      </c>
      <c r="G88" s="4" t="s">
        <v>14</v>
      </c>
    </row>
    <row r="89" spans="1:7">
      <c r="A89" s="4" t="s">
        <v>4</v>
      </c>
      <c r="B89" s="4" t="s">
        <v>13</v>
      </c>
      <c r="C89" s="4" t="s">
        <v>87</v>
      </c>
      <c r="D89" s="4" t="s">
        <v>89</v>
      </c>
      <c r="E89" s="4">
        <v>1410.1718707699099</v>
      </c>
      <c r="F89" s="4">
        <f t="shared" si="1"/>
        <v>282.03437415398196</v>
      </c>
      <c r="G89" s="4" t="s">
        <v>14</v>
      </c>
    </row>
    <row r="90" spans="1:7">
      <c r="A90" s="4" t="s">
        <v>3</v>
      </c>
      <c r="B90" s="4" t="s">
        <v>13</v>
      </c>
      <c r="C90" s="4" t="s">
        <v>87</v>
      </c>
      <c r="D90" s="4" t="s">
        <v>90</v>
      </c>
      <c r="E90" s="4">
        <v>81.173158426231282</v>
      </c>
      <c r="F90" s="4">
        <f t="shared" si="1"/>
        <v>16.234631685246256</v>
      </c>
      <c r="G90" s="4" t="s">
        <v>14</v>
      </c>
    </row>
    <row r="91" spans="1:7">
      <c r="A91" s="4" t="s">
        <v>4</v>
      </c>
      <c r="B91" s="4" t="s">
        <v>13</v>
      </c>
      <c r="C91" s="4" t="s">
        <v>87</v>
      </c>
      <c r="D91" s="4" t="s">
        <v>90</v>
      </c>
      <c r="E91" s="4">
        <v>4666.2756336942039</v>
      </c>
      <c r="F91" s="4">
        <f t="shared" si="1"/>
        <v>933.25512673884077</v>
      </c>
      <c r="G91" s="4" t="s">
        <v>14</v>
      </c>
    </row>
    <row r="92" spans="1:7">
      <c r="A92" s="4" t="s">
        <v>3</v>
      </c>
      <c r="B92" s="4" t="s">
        <v>13</v>
      </c>
      <c r="C92" s="4" t="s">
        <v>48</v>
      </c>
      <c r="D92" s="4" t="s">
        <v>91</v>
      </c>
      <c r="E92" s="4">
        <v>8.2498875218679917</v>
      </c>
      <c r="F92" s="4">
        <f t="shared" si="1"/>
        <v>1.6499775043735982</v>
      </c>
      <c r="G92" s="4" t="s">
        <v>14</v>
      </c>
    </row>
    <row r="93" spans="1:7">
      <c r="A93" s="4" t="s">
        <v>4</v>
      </c>
      <c r="B93" s="4" t="s">
        <v>13</v>
      </c>
      <c r="C93" s="4" t="s">
        <v>48</v>
      </c>
      <c r="D93" s="4" t="s">
        <v>91</v>
      </c>
      <c r="E93" s="4">
        <v>7975.4321634827002</v>
      </c>
      <c r="F93" s="4">
        <f t="shared" si="1"/>
        <v>1595.08643269654</v>
      </c>
      <c r="G93" s="4" t="s">
        <v>14</v>
      </c>
    </row>
    <row r="94" spans="1:7">
      <c r="A94" s="4" t="s">
        <v>3</v>
      </c>
      <c r="B94" s="4" t="s">
        <v>13</v>
      </c>
      <c r="C94" s="4" t="s">
        <v>58</v>
      </c>
      <c r="D94" s="4" t="s">
        <v>92</v>
      </c>
      <c r="E94" s="4">
        <v>876.87905432864818</v>
      </c>
      <c r="F94" s="4">
        <f t="shared" si="1"/>
        <v>175.37581086572965</v>
      </c>
      <c r="G94" s="4" t="s">
        <v>14</v>
      </c>
    </row>
    <row r="95" spans="1:7">
      <c r="A95" s="4" t="s">
        <v>4</v>
      </c>
      <c r="B95" s="4" t="s">
        <v>13</v>
      </c>
      <c r="C95" s="4" t="s">
        <v>58</v>
      </c>
      <c r="D95" s="4" t="s">
        <v>92</v>
      </c>
      <c r="E95" s="4">
        <v>4488.4526888237651</v>
      </c>
      <c r="F95" s="4">
        <f t="shared" si="1"/>
        <v>897.690537764753</v>
      </c>
      <c r="G95" s="4" t="s">
        <v>14</v>
      </c>
    </row>
    <row r="96" spans="1:7">
      <c r="A96" s="4" t="s">
        <v>3</v>
      </c>
      <c r="B96" s="4" t="s">
        <v>13</v>
      </c>
      <c r="C96" s="4" t="s">
        <v>83</v>
      </c>
      <c r="D96" s="4" t="s">
        <v>93</v>
      </c>
      <c r="E96" s="4">
        <v>511.23516396689138</v>
      </c>
      <c r="F96" s="4">
        <f t="shared" si="1"/>
        <v>102.24703279337828</v>
      </c>
      <c r="G96" s="4" t="s">
        <v>14</v>
      </c>
    </row>
    <row r="97" spans="1:7">
      <c r="A97" s="4" t="s">
        <v>4</v>
      </c>
      <c r="B97" s="4" t="s">
        <v>13</v>
      </c>
      <c r="C97" s="4" t="s">
        <v>83</v>
      </c>
      <c r="D97" s="4" t="s">
        <v>93</v>
      </c>
      <c r="E97" s="4">
        <v>11084.053567033259</v>
      </c>
      <c r="F97" s="4">
        <f t="shared" si="1"/>
        <v>2216.8107134066518</v>
      </c>
      <c r="G97" s="4" t="s">
        <v>14</v>
      </c>
    </row>
    <row r="98" spans="1:7">
      <c r="A98" s="4" t="s">
        <v>3</v>
      </c>
      <c r="B98" s="4" t="s">
        <v>13</v>
      </c>
      <c r="C98" s="4" t="s">
        <v>83</v>
      </c>
      <c r="D98" s="4" t="s">
        <v>94</v>
      </c>
      <c r="E98" s="4">
        <v>11679.089238782361</v>
      </c>
      <c r="F98" s="4">
        <f t="shared" si="1"/>
        <v>2335.817847756472</v>
      </c>
      <c r="G98" s="4" t="s">
        <v>14</v>
      </c>
    </row>
    <row r="99" spans="1:7">
      <c r="A99" s="4" t="s">
        <v>4</v>
      </c>
      <c r="B99" s="4" t="s">
        <v>13</v>
      </c>
      <c r="C99" s="4" t="s">
        <v>83</v>
      </c>
      <c r="D99" s="4" t="s">
        <v>94</v>
      </c>
      <c r="E99" s="4">
        <v>25317.323164168509</v>
      </c>
      <c r="F99" s="4">
        <f t="shared" si="1"/>
        <v>5063.4646328337021</v>
      </c>
      <c r="G99" s="4" t="s">
        <v>14</v>
      </c>
    </row>
    <row r="100" spans="1:7">
      <c r="A100" s="4" t="s">
        <v>3</v>
      </c>
      <c r="B100" s="4" t="s">
        <v>13</v>
      </c>
      <c r="C100" s="4" t="s">
        <v>83</v>
      </c>
      <c r="D100" s="4" t="s">
        <v>95</v>
      </c>
      <c r="E100" s="4">
        <v>14028.45997646139</v>
      </c>
      <c r="F100" s="4">
        <f t="shared" si="1"/>
        <v>2805.6919952922781</v>
      </c>
      <c r="G100" s="4" t="s">
        <v>14</v>
      </c>
    </row>
    <row r="101" spans="1:7">
      <c r="A101" s="4" t="s">
        <v>4</v>
      </c>
      <c r="B101" s="4" t="s">
        <v>13</v>
      </c>
      <c r="C101" s="4" t="s">
        <v>83</v>
      </c>
      <c r="D101" s="4" t="s">
        <v>95</v>
      </c>
      <c r="E101" s="4">
        <v>27131.628830080728</v>
      </c>
      <c r="F101" s="4">
        <f t="shared" si="1"/>
        <v>5426.3257660161453</v>
      </c>
      <c r="G101" s="4" t="s">
        <v>14</v>
      </c>
    </row>
    <row r="102" spans="1:7">
      <c r="A102" s="4" t="s">
        <v>3</v>
      </c>
      <c r="B102" s="4" t="s">
        <v>13</v>
      </c>
      <c r="C102" s="4" t="s">
        <v>13</v>
      </c>
      <c r="D102" s="4" t="s">
        <v>96</v>
      </c>
      <c r="E102" s="4">
        <v>2310.9979440713219</v>
      </c>
      <c r="F102" s="4">
        <f t="shared" si="1"/>
        <v>462.19958881426436</v>
      </c>
      <c r="G102" s="4" t="s">
        <v>14</v>
      </c>
    </row>
    <row r="103" spans="1:7">
      <c r="A103" s="4" t="s">
        <v>4</v>
      </c>
      <c r="B103" s="4" t="s">
        <v>13</v>
      </c>
      <c r="C103" s="4" t="s">
        <v>13</v>
      </c>
      <c r="D103" s="4" t="s">
        <v>96</v>
      </c>
      <c r="E103" s="4">
        <v>11681.8326772619</v>
      </c>
      <c r="F103" s="4">
        <f t="shared" si="1"/>
        <v>2336.36653545238</v>
      </c>
      <c r="G103" s="4" t="s">
        <v>14</v>
      </c>
    </row>
    <row r="104" spans="1:7">
      <c r="A104" s="4" t="s">
        <v>4</v>
      </c>
      <c r="B104" s="4" t="s">
        <v>13</v>
      </c>
      <c r="C104" s="4" t="s">
        <v>48</v>
      </c>
      <c r="D104" s="4" t="s">
        <v>97</v>
      </c>
      <c r="E104" s="4">
        <v>2225.4506096491468</v>
      </c>
      <c r="F104" s="4">
        <f t="shared" si="1"/>
        <v>445.09012192982937</v>
      </c>
      <c r="G104" s="4" t="s">
        <v>14</v>
      </c>
    </row>
    <row r="105" spans="1:7">
      <c r="A105" s="4" t="s">
        <v>3</v>
      </c>
      <c r="B105" s="4" t="s">
        <v>13</v>
      </c>
      <c r="C105" s="4" t="s">
        <v>58</v>
      </c>
      <c r="D105" s="4" t="s">
        <v>98</v>
      </c>
      <c r="E105" s="4">
        <v>28.117597907635201</v>
      </c>
      <c r="F105" s="4">
        <f t="shared" si="1"/>
        <v>5.6235195815270398</v>
      </c>
      <c r="G105" s="4" t="s">
        <v>14</v>
      </c>
    </row>
    <row r="106" spans="1:7">
      <c r="A106" s="4" t="s">
        <v>4</v>
      </c>
      <c r="B106" s="4" t="s">
        <v>13</v>
      </c>
      <c r="C106" s="4" t="s">
        <v>58</v>
      </c>
      <c r="D106" s="4" t="s">
        <v>98</v>
      </c>
      <c r="E106" s="4">
        <v>3551.5025267537621</v>
      </c>
      <c r="F106" s="4">
        <f t="shared" si="1"/>
        <v>710.30050535075247</v>
      </c>
      <c r="G106" s="4" t="s">
        <v>14</v>
      </c>
    </row>
    <row r="107" spans="1:7">
      <c r="A107" s="4" t="s">
        <v>4</v>
      </c>
      <c r="B107" s="4" t="s">
        <v>13</v>
      </c>
      <c r="C107" s="4" t="s">
        <v>58</v>
      </c>
      <c r="D107" s="4" t="s">
        <v>99</v>
      </c>
      <c r="E107" s="4">
        <v>1221.1764932070889</v>
      </c>
      <c r="F107" s="4">
        <f t="shared" si="1"/>
        <v>244.23529864141778</v>
      </c>
      <c r="G107" s="4" t="s">
        <v>14</v>
      </c>
    </row>
    <row r="108" spans="1:7">
      <c r="A108" s="4" t="s">
        <v>4</v>
      </c>
      <c r="B108" s="4" t="s">
        <v>13</v>
      </c>
      <c r="C108" s="4" t="s">
        <v>48</v>
      </c>
      <c r="D108" s="4" t="s">
        <v>100</v>
      </c>
      <c r="E108" s="4">
        <v>1646.391576014249</v>
      </c>
      <c r="F108" s="4">
        <f t="shared" si="1"/>
        <v>329.2783152028498</v>
      </c>
      <c r="G108" s="4" t="s">
        <v>14</v>
      </c>
    </row>
    <row r="109" spans="1:7">
      <c r="A109" s="4" t="s">
        <v>4</v>
      </c>
      <c r="B109" s="4" t="s">
        <v>13</v>
      </c>
      <c r="C109" s="4" t="s">
        <v>48</v>
      </c>
      <c r="D109" s="4" t="s">
        <v>101</v>
      </c>
      <c r="E109" s="4">
        <v>3055.5630663867901</v>
      </c>
      <c r="F109" s="4">
        <f t="shared" si="1"/>
        <v>611.11261327735804</v>
      </c>
      <c r="G109" s="4" t="s">
        <v>14</v>
      </c>
    </row>
    <row r="110" spans="1:7">
      <c r="A110" s="4" t="s">
        <v>4</v>
      </c>
      <c r="B110" s="4" t="s">
        <v>13</v>
      </c>
      <c r="C110" s="4" t="s">
        <v>48</v>
      </c>
      <c r="D110" s="4" t="s">
        <v>102</v>
      </c>
      <c r="E110" s="4">
        <v>3073.0028639783541</v>
      </c>
      <c r="F110" s="4">
        <f t="shared" si="1"/>
        <v>614.60057279567081</v>
      </c>
      <c r="G110" s="4" t="s">
        <v>14</v>
      </c>
    </row>
    <row r="111" spans="1:7">
      <c r="A111" s="4" t="s">
        <v>3</v>
      </c>
      <c r="B111" s="4" t="s">
        <v>13</v>
      </c>
      <c r="C111" s="4" t="s">
        <v>48</v>
      </c>
      <c r="D111" s="4" t="s">
        <v>103</v>
      </c>
      <c r="E111" s="4">
        <v>1.6705310200501471</v>
      </c>
      <c r="F111" s="4">
        <f t="shared" si="1"/>
        <v>0.33410620401002944</v>
      </c>
      <c r="G111" s="4" t="s">
        <v>14</v>
      </c>
    </row>
    <row r="112" spans="1:7">
      <c r="A112" s="4" t="s">
        <v>4</v>
      </c>
      <c r="B112" s="4" t="s">
        <v>13</v>
      </c>
      <c r="C112" s="4" t="s">
        <v>48</v>
      </c>
      <c r="D112" s="4" t="s">
        <v>103</v>
      </c>
      <c r="E112" s="4">
        <v>1543.242649171139</v>
      </c>
      <c r="F112" s="4">
        <f t="shared" si="1"/>
        <v>308.64852983422782</v>
      </c>
      <c r="G112" s="4" t="s">
        <v>14</v>
      </c>
    </row>
  </sheetData>
  <autoFilter ref="A1:G1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Wilmer Gulcochía Sánchez</cp:lastModifiedBy>
  <cp:revision>0</cp:revision>
  <dcterms:created xsi:type="dcterms:W3CDTF">2025-12-10T16:21:08Z</dcterms:created>
  <dcterms:modified xsi:type="dcterms:W3CDTF">2025-12-10T16:21:08Z</dcterms:modified>
  <cp:category/>
  <cp:contentStatus/>
</cp:coreProperties>
</file>