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harts/chart2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3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+xml"/>
  <Override PartName="/xl/charts/chart3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+xml"/>
  <Override PartName="/xl/charts/chart3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+xml"/>
  <Override PartName="/xl/charts/chart3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melendezh\Desktop\Lena Melendez Huerta\ANUARIO 2024\"/>
    </mc:Choice>
  </mc:AlternateContent>
  <xr:revisionPtr revIDLastSave="0" documentId="13_ncr:1_{719CE92F-31BF-4C97-B894-B2AEAF79CF28}" xr6:coauthVersionLast="47" xr6:coauthVersionMax="47" xr10:uidLastSave="{00000000-0000-0000-0000-000000000000}"/>
  <bookViews>
    <workbookView xWindow="-120" yWindow="-120" windowWidth="29040" windowHeight="15720" tabRatio="833" firstSheet="27" activeTab="32" xr2:uid="{00000000-000D-0000-FFFF-FFFF00000000}"/>
  </bookViews>
  <sheets>
    <sheet name="INDICE" sheetId="1" r:id="rId1"/>
    <sheet name="Tabla1-4 TH" sheetId="2" r:id="rId2"/>
    <sheet name="Tabla5-6_LicenciasCD" sheetId="3" r:id="rId3"/>
    <sheet name="Tabla7-9_AutCD" sheetId="4" r:id="rId4"/>
    <sheet name="Tabla10-11_AutInvest" sheetId="5" r:id="rId5"/>
    <sheet name="Tabla12_CTP" sheetId="7" r:id="rId6"/>
    <sheet name="Tabla13_Depósitos" sheetId="8" r:id="rId7"/>
    <sheet name="Tabla14-16_Transferencias" sheetId="9" r:id="rId8"/>
    <sheet name="Tabla17-20_PAS Fauna" sheetId="11" r:id="rId9"/>
    <sheet name="Tabla21-23_Plantaciones" sheetId="12" r:id="rId10"/>
    <sheet name="Tabla24_Regentes" sheetId="13" r:id="rId11"/>
    <sheet name="Tabla25_RNI" sheetId="14" r:id="rId12"/>
    <sheet name="Tabla26_Centros de propagacion" sheetId="15" r:id="rId13"/>
    <sheet name="Tabla27-28_ProdMadRoll" sheetId="39" r:id="rId14"/>
    <sheet name="Tabla29-30_ProdMadAs" sheetId="16" r:id="rId15"/>
    <sheet name="Tabla31_Durmientes" sheetId="18" r:id="rId16"/>
    <sheet name="Tabla32_Parquet" sheetId="40" r:id="rId17"/>
    <sheet name="Tabla33_MadLaminada" sheetId="41" r:id="rId18"/>
    <sheet name="Tabla34_Leña" sheetId="21" r:id="rId19"/>
    <sheet name="Tabla35_Carbón" sheetId="22" r:id="rId20"/>
    <sheet name="Tabla36-37_PFDM" sheetId="23" r:id="rId21"/>
    <sheet name="Tabla38-39_DEMA CSS" sheetId="24" r:id="rId22"/>
    <sheet name="Tabla40-44_CapturayEsquila" sheetId="25" r:id="rId23"/>
    <sheet name="Tabla45_CazaFurtiva" sheetId="26" r:id="rId24"/>
    <sheet name="Tabla46-47_Exportación_FoMad" sheetId="42" r:id="rId25"/>
    <sheet name="Tabla48-49_ImportaciónForMad" sheetId="43" r:id="rId26"/>
    <sheet name="Tabla50-51_ExportaciónPFDM" sheetId="44" r:id="rId27"/>
    <sheet name="Tabla52-53_ImportacionPFDM" sheetId="45" r:id="rId28"/>
    <sheet name="Tabla54_BALANZA COMERCIAL" sheetId="46" r:id="rId29"/>
    <sheet name="Tabla55_56ExportaciónFauna" sheetId="47" r:id="rId30"/>
    <sheet name="Tabla57-59_ExportCITES_vicuña" sheetId="35" r:id="rId31"/>
    <sheet name="Tabla60_ExportCITES_Mad" sheetId="32" r:id="rId32"/>
    <sheet name="Tabla61-64_ExportCITES_PFDM" sheetId="33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A2">#REF!</definedName>
    <definedName name="____bol52">#REF!</definedName>
    <definedName name="____cdr2">#REF!</definedName>
    <definedName name="____Imp2">#REF!</definedName>
    <definedName name="___key2" localSheetId="22">#REF!</definedName>
    <definedName name="___key2">#REF!</definedName>
    <definedName name="__123Graph_A" localSheetId="22">#REF!</definedName>
    <definedName name="__123Graph_A">#REF!</definedName>
    <definedName name="__123Graph_ACURRENT" localSheetId="22">#REF!</definedName>
    <definedName name="__123Graph_ACURRENT">#REF!</definedName>
    <definedName name="__123Graph_B" localSheetId="22">#REF!</definedName>
    <definedName name="__123Graph_B">#REF!</definedName>
    <definedName name="__123Graph_BCURRENT" localSheetId="22">#REF!</definedName>
    <definedName name="__123Graph_BCURRENT">#REF!</definedName>
    <definedName name="__123Graph_D">#REF!</definedName>
    <definedName name="__123Graph_DCURRENT">#REF!</definedName>
    <definedName name="__123Graph_F">#REF!</definedName>
    <definedName name="__123Graph_FCURRENT">#REF!</definedName>
    <definedName name="__123Graph_X">#REF!</definedName>
    <definedName name="__123Graph_XCURRENT">#REF!</definedName>
    <definedName name="__BTP2">#REF!</definedName>
    <definedName name="__CDB1">#REF!</definedName>
    <definedName name="__CDB2">#REF!</definedName>
    <definedName name="__Cdr7">#REF!</definedName>
    <definedName name="__Cdr8">#REF!</definedName>
    <definedName name="__Dur1">#REF!</definedName>
    <definedName name="__G7" localSheetId="22">#REF!</definedName>
    <definedName name="__G7">#REF!</definedName>
    <definedName name="__gas001" localSheetId="22">#REF!</definedName>
    <definedName name="__gas001">#REF!</definedName>
    <definedName name="__Gas01" localSheetId="22">#REF!</definedName>
    <definedName name="__Gas01">#REF!</definedName>
    <definedName name="__gas1">#REF!</definedName>
    <definedName name="__Imp1">#REF!</definedName>
    <definedName name="__key2">#REF!</definedName>
    <definedName name="__p1">#REF!</definedName>
    <definedName name="__RM1">#REF!</definedName>
    <definedName name="__RM2">#REF!</definedName>
    <definedName name="_1__123Graph_ACHART_1">#REF!</definedName>
    <definedName name="_2__123Graph_XCHART_1">#REF!</definedName>
    <definedName name="_3_0">#REF!</definedName>
    <definedName name="_4_0">#REF!</definedName>
    <definedName name="_5_0">#REF!</definedName>
    <definedName name="_7.4">#REF!</definedName>
    <definedName name="_7.5">#REF!</definedName>
    <definedName name="_7.6">#REF!</definedName>
    <definedName name="_7.7">#REF!</definedName>
    <definedName name="_A2">#REF!</definedName>
    <definedName name="_bol52">#REF!</definedName>
    <definedName name="_BTP1">#REF!</definedName>
    <definedName name="_BTP2">#REF!</definedName>
    <definedName name="_CDB1">#REF!</definedName>
    <definedName name="_CDB2">#REF!</definedName>
    <definedName name="_cdr2">#REF!</definedName>
    <definedName name="_Cdr7">#REF!</definedName>
    <definedName name="_Cdr8">#REF!</definedName>
    <definedName name="_Dur1">#REF!</definedName>
    <definedName name="_Fill" localSheetId="22">#REF!</definedName>
    <definedName name="_Fill">#REF!</definedName>
    <definedName name="_fill1" localSheetId="22">#REF!</definedName>
    <definedName name="_fill1">#REF!</definedName>
    <definedName name="_xlnm._FilterDatabase" localSheetId="4" hidden="1">'Tabla10-11_AutInvest'!$AP$7:$AS$7</definedName>
    <definedName name="_xlnm._FilterDatabase" localSheetId="13" hidden="1">'Tabla27-28_ProdMadRoll'!$B$38:$D$877</definedName>
    <definedName name="_xlnm._FilterDatabase" localSheetId="14" hidden="1">'Tabla29-30_ProdMadAs'!$B$33:$D$1188</definedName>
    <definedName name="_xlnm._FilterDatabase" localSheetId="20" hidden="1">'Tabla36-37_PFDM'!$B$179:$D$295</definedName>
    <definedName name="_xlnm._FilterDatabase" localSheetId="3" hidden="1">'Tabla7-9_AutCD'!$AE$79:$AF$79</definedName>
    <definedName name="_G7" localSheetId="22">#REF!</definedName>
    <definedName name="_G7">#REF!</definedName>
    <definedName name="_gas001" localSheetId="22">#REF!</definedName>
    <definedName name="_gas001">#REF!</definedName>
    <definedName name="_Gas01" localSheetId="22">#REF!</definedName>
    <definedName name="_Gas01">#REF!</definedName>
    <definedName name="_gas1">#REF!</definedName>
    <definedName name="_Imp1">#REF!</definedName>
    <definedName name="_Imp2">#REF!</definedName>
    <definedName name="_key01">#REF!</definedName>
    <definedName name="_Key1">#REF!</definedName>
    <definedName name="_Key2">#REF!</definedName>
    <definedName name="_key3" localSheetId="22">#REF!</definedName>
    <definedName name="_key3">#REF!</definedName>
    <definedName name="_M">#REF!</definedName>
    <definedName name="_Order1">0</definedName>
    <definedName name="_Order2">0</definedName>
    <definedName name="_P" localSheetId="22">#REF!</definedName>
    <definedName name="_P">#REF!</definedName>
    <definedName name="_p1" localSheetId="22">#REF!</definedName>
    <definedName name="_p1">#REF!</definedName>
    <definedName name="_Parse_Out">#REF!</definedName>
    <definedName name="_RM1">#REF!</definedName>
    <definedName name="_RM2">#REF!</definedName>
    <definedName name="_S">#REF!</definedName>
    <definedName name="_Sort" localSheetId="22">#REF!</definedName>
    <definedName name="_Sort">#REF!</definedName>
    <definedName name="_sort01" localSheetId="22">#REF!</definedName>
    <definedName name="_sort01">#REF!</definedName>
    <definedName name="_sort1">#REF!</definedName>
    <definedName name="_Toc155600074" localSheetId="2">'Tabla5-6_LicenciasCD'!$I$8</definedName>
    <definedName name="_Toc155600075" localSheetId="3">'Tabla7-9_AutCD'!#REF!</definedName>
    <definedName name="_Toc155600076" localSheetId="3">'Tabla7-9_AutCD'!$B$78</definedName>
    <definedName name="_Toc155600077" localSheetId="4">'Tabla10-11_AutInvest'!$J$3</definedName>
    <definedName name="_Toc155600078" localSheetId="4">'Tabla10-11_AutInvest'!$J$31</definedName>
    <definedName name="_Toc155600079" localSheetId="4">'Tabla10-11_AutInvest'!$B$50</definedName>
    <definedName name="_Toc155600080" localSheetId="5">Tabla12_CTP!$K$4</definedName>
    <definedName name="_Toc155600081" localSheetId="6">Tabla13_Depósitos!$J$6</definedName>
    <definedName name="_Toc155600082" localSheetId="8">'Tabla17-20_PAS Fauna'!$I$5</definedName>
    <definedName name="_Toc155600083" localSheetId="8">'Tabla17-20_PAS Fauna'!$B$105</definedName>
    <definedName name="_Toc155600084" localSheetId="9">'Tabla21-23_Plantaciones'!$G$7</definedName>
    <definedName name="_Toc155600085" localSheetId="12">'Tabla26_Centros de propagacion'!$B$19</definedName>
    <definedName name="_Toc155600086" localSheetId="14">'Tabla29-30_ProdMadAs'!$F$5</definedName>
    <definedName name="_Toc155600087" localSheetId="14">'Tabla29-30_ProdMadAs'!$F$33</definedName>
    <definedName name="_Toc155600092" localSheetId="21">'Tabla38-39_DEMA CSS'!$I$5</definedName>
    <definedName name="_Toc155600093" localSheetId="22">'Tabla40-44_CapturayEsquila'!$L$5</definedName>
    <definedName name="_Toc155600094" localSheetId="22">'Tabla40-44_CapturayEsquila'!$L$52</definedName>
    <definedName name="_Toc155600095" localSheetId="23">Tabla45_CazaFurtiva!$B$14</definedName>
    <definedName name="_Toc155600101" localSheetId="31">Tabla60_ExportCITES_Mad!$B$23</definedName>
    <definedName name="_Toc155600102" localSheetId="32">'Tabla61-64_ExportCITES_PFDM'!$J$4</definedName>
    <definedName name="a">#REF!</definedName>
    <definedName name="A_impresión_IM">#REF!</definedName>
    <definedName name="A87_">#REF!</definedName>
    <definedName name="aaaa">#REF!</definedName>
    <definedName name="adicional">#REF!</definedName>
    <definedName name="ALIMENTOS">#REF!</definedName>
    <definedName name="anexo">#REF!</definedName>
    <definedName name="anexo_especial">#REF!</definedName>
    <definedName name="anexos">#REF!</definedName>
    <definedName name="area1" localSheetId="22">#REF!</definedName>
    <definedName name="area1">#REF!</definedName>
    <definedName name="area2" localSheetId="22">#REF!</definedName>
    <definedName name="area2">#REF!</definedName>
    <definedName name="area3" localSheetId="22">#REF!</definedName>
    <definedName name="area3">#REF!</definedName>
    <definedName name="area4">#REF!</definedName>
    <definedName name="AreaDeFechasC1">#REF!</definedName>
    <definedName name="AreaDeFechasC3">#REF!</definedName>
    <definedName name="AreaDeFechasC5">#REF!</definedName>
    <definedName name="AreaDeFechasC6">#REF!</definedName>
    <definedName name="AreaDeFechasC8" localSheetId="22">#REF!</definedName>
    <definedName name="AreaDeFechasC8">#REF!</definedName>
    <definedName name="AreaDeFechasDeCuadro1">#REF!</definedName>
    <definedName name="AreaDeFechasDeCuadro3">#REF!</definedName>
    <definedName name="AreaDeFechasDeCuadro5">#REF!</definedName>
    <definedName name="AreaDeFechasDeCuadro6" localSheetId="22">#REF!</definedName>
    <definedName name="AreaDeFechasDeCuadro6">#REF!</definedName>
    <definedName name="AreaDeFechasDeCuadro8">#REF!</definedName>
    <definedName name="asde" localSheetId="22">#REF!</definedName>
    <definedName name="asde">#REF!</definedName>
    <definedName name="AUTAPRO" localSheetId="21">#REF!</definedName>
    <definedName name="AUTAPRO">#REF!</definedName>
    <definedName name="AUTFOR">#REF!</definedName>
    <definedName name="base0" localSheetId="22">#REF!</definedName>
    <definedName name="base0">#REF!</definedName>
    <definedName name="_xlnm.Database">'[7]EXPORT. MAD.'!$A$5:$E$829</definedName>
    <definedName name="baseFP">#REF!</definedName>
    <definedName name="baseProm">#REF!</definedName>
    <definedName name="BLPH1" localSheetId="22">#REF!</definedName>
    <definedName name="BLPH1">#REF!</definedName>
    <definedName name="bol03_98" localSheetId="22">#REF!</definedName>
    <definedName name="bol03_98">#REF!</definedName>
    <definedName name="bos">#REF!</definedName>
    <definedName name="CABEZA1">#REF!</definedName>
    <definedName name="cara">#REF!</definedName>
    <definedName name="caudal">#REF!</definedName>
    <definedName name="caudal1" localSheetId="22">#REF!</definedName>
    <definedName name="caudal1">#REF!</definedName>
    <definedName name="cdr">#REF!</definedName>
    <definedName name="CODIGO">#REF!</definedName>
    <definedName name="condicion">#REF!</definedName>
    <definedName name="Condición">#REF!</definedName>
    <definedName name="CSP">#REF!</definedName>
    <definedName name="cua">#REF!</definedName>
    <definedName name="cuadro">#REF!</definedName>
    <definedName name="cuadro_mes" localSheetId="22">#REF!</definedName>
    <definedName name="cuadro_mes">#REF!</definedName>
    <definedName name="Cuadro_N__001" localSheetId="22">#REF!</definedName>
    <definedName name="Cuadro_N__001">#REF!</definedName>
    <definedName name="cuadro_N__002" localSheetId="22">#REF!</definedName>
    <definedName name="cuadro_N__002">#REF!</definedName>
    <definedName name="Cuadro_N__003">#REF!</definedName>
    <definedName name="cuadro_n__004">#REF!</definedName>
    <definedName name="Cuadro_N__01">#REF!</definedName>
    <definedName name="Cuadro_N__03">#REF!</definedName>
    <definedName name="Cuadro_N__04">#REF!</definedName>
    <definedName name="cuadro_N__05">#REF!</definedName>
    <definedName name="Cuadro_N__06">#REF!</definedName>
    <definedName name="Cuadro_N__1">#REF!</definedName>
    <definedName name="Cuadro_N__10">#REF!</definedName>
    <definedName name="Cuadro_N__11">#REF!</definedName>
    <definedName name="Cuadro_N__12">#REF!</definedName>
    <definedName name="Cuadro_N__13">#REF!</definedName>
    <definedName name="Cuadro_N__14">#REF!</definedName>
    <definedName name="Cuadro_N__19">#REF!</definedName>
    <definedName name="Cuadro_N__2">#REF!</definedName>
    <definedName name="Cuadro_N__20">#REF!</definedName>
    <definedName name="Cuadro_N__21">#REF!</definedName>
    <definedName name="Cuadro_N__22">#REF!</definedName>
    <definedName name="Cuadro_N__23">#REF!</definedName>
    <definedName name="Cuadro_N__24">#REF!</definedName>
    <definedName name="Cuadro_N__25">#REF!</definedName>
    <definedName name="Cuadro_N__26">#REF!</definedName>
    <definedName name="Cuadro_N__3">#REF!</definedName>
    <definedName name="Cuadro_N__30">#REF!</definedName>
    <definedName name="Cuadro_N__31">#REF!</definedName>
    <definedName name="Cuadro_N__32">#REF!</definedName>
    <definedName name="Cuadro_N__4">#REF!</definedName>
    <definedName name="Cuadro_N__5">#REF!</definedName>
    <definedName name="cuadro_N__6">#REF!</definedName>
    <definedName name="Cuadro_N__8">#REF!</definedName>
    <definedName name="Cuadro_N__9">#REF!</definedName>
    <definedName name="Cuadro_N_1">#REF!</definedName>
    <definedName name="cuadro1">#REF!</definedName>
    <definedName name="cuadro2">#REF!</definedName>
    <definedName name="cuadros">#REF!</definedName>
    <definedName name="daklsñjfkjasñ">#REF!</definedName>
    <definedName name="DATA_V9" localSheetId="22">#REF!</definedName>
    <definedName name="DATA_V9">#REF!</definedName>
    <definedName name="Datos_para_ApéndiceC1">#REF!</definedName>
    <definedName name="DatosBase">#REF!</definedName>
    <definedName name="deer" localSheetId="22">#REF!</definedName>
    <definedName name="deer">#REF!</definedName>
    <definedName name="dfasñljskña">#REF!</definedName>
    <definedName name="dfsfd" localSheetId="22">#REF!</definedName>
    <definedName name="dfsfd">#REF!</definedName>
    <definedName name="DíasHábiles">#REF!</definedName>
    <definedName name="DISTRITOS">#REF!</definedName>
    <definedName name="dklñfjadskfjañdf">#REF!</definedName>
    <definedName name="DOCPAMU">#REF!</definedName>
    <definedName name="dos">#REF!</definedName>
    <definedName name="DurA">#REF!</definedName>
    <definedName name="EMBI">#REF!</definedName>
    <definedName name="Ends">#REF!</definedName>
    <definedName name="fadsfkañlj" localSheetId="22">#REF!,#REF!</definedName>
    <definedName name="fadsfkañlj">#REF!,#REF!</definedName>
    <definedName name="fajkdlñfjafklñdfjak" localSheetId="22">#REF!</definedName>
    <definedName name="fajkdlñfjafklñdfjak">#REF!</definedName>
    <definedName name="FechasDeCuadroAnexo">#REF!</definedName>
    <definedName name="FechasDeCuadroDeAFP">#REF!</definedName>
    <definedName name="FechasDeCuadroDeAhorro">#REF!</definedName>
    <definedName name="FechasDeCuadroDeBonos">#REF!</definedName>
    <definedName name="FechasPanelDeCuadroAnexo">#REF!</definedName>
    <definedName name="FechasPanelDeCuadroDeAFP">#REF!</definedName>
    <definedName name="FechasPanelDeCuadroDeAhorro">#REF!</definedName>
    <definedName name="FechasPanelDeCuadroDeBolsa">#REF!</definedName>
    <definedName name="FechasPanelDeCuadroDeBonos">#REF!</definedName>
    <definedName name="FechasPanelDeCuadroExtra">#REF!</definedName>
    <definedName name="FechasPanelDeTodosLosCuadros">#REF!</definedName>
    <definedName name="FemaleDa" localSheetId="22">#REF!</definedName>
    <definedName name="FemaleDa">#REF!</definedName>
    <definedName name="fgsg">#REF!</definedName>
    <definedName name="FIN">#REF!</definedName>
    <definedName name="FLUJO">#REF!</definedName>
    <definedName name="FRE" localSheetId="22">#REF!</definedName>
    <definedName name="FRE">#REF!</definedName>
    <definedName name="FUENTE">#REF!</definedName>
    <definedName name="GAS" localSheetId="22">#REF!</definedName>
    <definedName name="GAS">#REF!</definedName>
    <definedName name="gdgdg" localSheetId="22">#REF!</definedName>
    <definedName name="gdgdg">#REF!</definedName>
    <definedName name="gfsg" localSheetId="22">#REF!</definedName>
    <definedName name="gfsg">#REF!</definedName>
    <definedName name="Google_Sheet_Link_1016165788_581754725" localSheetId="29" hidden="1">_Toc155600103</definedName>
    <definedName name="Google_Sheet_Link_1016165788_581754725" hidden="1">[0]!_Toc155600103</definedName>
    <definedName name="Google_Sheet_Link_1182339041_1109836419" localSheetId="29" hidden="1">_Toc155600087</definedName>
    <definedName name="Google_Sheet_Link_1182339041_1109836419" hidden="1">'Tabla29-30_ProdMadAs'!_Toc155600087</definedName>
    <definedName name="Google_Sheet_Link_1227027105_1911390731" localSheetId="29" hidden="1">_Toc155600099</definedName>
    <definedName name="Google_Sheet_Link_1227027105_1911390731" hidden="1">_Toc155600099</definedName>
    <definedName name="Google_Sheet_Link_1261015939_27095529" localSheetId="29" hidden="1">_Toc155600095</definedName>
    <definedName name="Google_Sheet_Link_1261015939_27095529" hidden="1">Tabla45_CazaFurtiva!_Toc155600095</definedName>
    <definedName name="Google_Sheet_Link_138177521_2020217111" localSheetId="29" hidden="1">_Toc155600098</definedName>
    <definedName name="Google_Sheet_Link_138177521_2020217111" hidden="1">_Toc155600098</definedName>
    <definedName name="Google_Sheet_Link_1393845974_1109836419" localSheetId="29" hidden="1">_Toc155600086</definedName>
    <definedName name="Google_Sheet_Link_1393845974_1109836419" hidden="1">'Tabla29-30_ProdMadAs'!_Toc155600086</definedName>
    <definedName name="Google_Sheet_Link_1404447820_128193081" localSheetId="29" hidden="1">_Toc155600090</definedName>
    <definedName name="Google_Sheet_Link_1404447820_128193081" hidden="1">_Toc155600090</definedName>
    <definedName name="Google_Sheet_Link_142042697_2035242266" localSheetId="29" hidden="1">_Toc155600091</definedName>
    <definedName name="Google_Sheet_Link_142042697_2035242266" hidden="1">_Toc155600091</definedName>
    <definedName name="Google_Sheet_Link_1471784472_901578964" localSheetId="29" hidden="1">_Toc155600092</definedName>
    <definedName name="Google_Sheet_Link_1471784472_901578964" hidden="1">'Tabla38-39_DEMA CSS'!_Toc155600092</definedName>
    <definedName name="Google_Sheet_Link_1563259073_803809745" localSheetId="29" hidden="1">_Toc155600084</definedName>
    <definedName name="Google_Sheet_Link_1563259073_803809745" hidden="1">'Tabla21-23_Plantaciones'!_Toc155600084</definedName>
    <definedName name="Google_Sheet_Link_1604319875_1183468327" localSheetId="29" hidden="1">_Toc155600105</definedName>
    <definedName name="Google_Sheet_Link_1604319875_1183468327" hidden="1">[0]!_Toc155600105</definedName>
    <definedName name="Google_Sheet_Link_1619947074_954231831" localSheetId="29" hidden="1">_Toc155600100</definedName>
    <definedName name="Google_Sheet_Link_1619947074_954231831" hidden="1">_Toc155600100</definedName>
    <definedName name="Google_Sheet_Link_1630076087_574788033" localSheetId="29" hidden="1">_Toc155600096</definedName>
    <definedName name="Google_Sheet_Link_1630076087_574788033" hidden="1">_Toc155600096</definedName>
    <definedName name="Google_Sheet_Link_1644184499_2086628736" localSheetId="29" hidden="1">_Toc155600078</definedName>
    <definedName name="Google_Sheet_Link_1644184499_2086628736" hidden="1">'Tabla10-11_AutInvest'!_Toc155600078</definedName>
    <definedName name="Google_Sheet_Link_1703016802_947613922" localSheetId="29" hidden="1">_Toc155600085</definedName>
    <definedName name="Google_Sheet_Link_1703016802_947613922" hidden="1">'Tabla26_Centros de propagacion'!_Toc155600085</definedName>
    <definedName name="Google_Sheet_Link_174407229_616131546" localSheetId="29" hidden="1">_Toc155600088</definedName>
    <definedName name="Google_Sheet_Link_174407229_616131546" hidden="1">_Toc155600088</definedName>
    <definedName name="Google_Sheet_Link_1850210958_463941021" localSheetId="29" hidden="1">_Toc155600101</definedName>
    <definedName name="Google_Sheet_Link_1850210958_463941021" hidden="1">Tabla60_ExportCITES_Mad!_Toc155600101</definedName>
    <definedName name="Google_Sheet_Link_1911534778_1266249082" localSheetId="29" hidden="1">_Toc155600094</definedName>
    <definedName name="Google_Sheet_Link_1911534778_1266249082" hidden="1">'Tabla40-44_CapturayEsquila'!_Toc155600094</definedName>
    <definedName name="Google_Sheet_Link_1956089038_1894871541" localSheetId="29" hidden="1">_Toc155600074</definedName>
    <definedName name="Google_Sheet_Link_1956089038_1894871541" hidden="1">'Tabla5-6_LicenciasCD'!_Toc155600074</definedName>
    <definedName name="Google_Sheet_Link_1992125373_1385765987" localSheetId="29" hidden="1">_Toc155600081</definedName>
    <definedName name="Google_Sheet_Link_1992125373_1385765987" hidden="1">Tabla13_Depósitos!_Toc155600081</definedName>
    <definedName name="Google_Sheet_Link_2020676781_1168477065" localSheetId="29" hidden="1">_Toc155600109</definedName>
    <definedName name="Google_Sheet_Link_2020676781_1168477065" hidden="1">[0]!_Toc155600109</definedName>
    <definedName name="Google_Sheet_Link_2066701384_1266249082" localSheetId="29" hidden="1">_Toc155600093</definedName>
    <definedName name="Google_Sheet_Link_2066701384_1266249082" hidden="1">'Tabla40-44_CapturayEsquila'!_Toc155600093</definedName>
    <definedName name="Google_Sheet_Link_2113053249_269558928" localSheetId="29" hidden="1">_Toc155600082</definedName>
    <definedName name="Google_Sheet_Link_2113053249_269558928" hidden="1">'Tabla17-20_PAS Fauna'!_Toc155600082</definedName>
    <definedName name="Google_Sheet_Link_2137887333_616131546" localSheetId="29" hidden="1">_Toc155600089</definedName>
    <definedName name="Google_Sheet_Link_2137887333_616131546" hidden="1">_Toc155600089</definedName>
    <definedName name="Google_Sheet_Link_269761850_2086628736" localSheetId="29" hidden="1">_Toc155600077</definedName>
    <definedName name="Google_Sheet_Link_269761850_2086628736" hidden="1">'Tabla10-11_AutInvest'!_Toc155600077</definedName>
    <definedName name="Google_Sheet_Link_300537463_497735897" localSheetId="29" hidden="1">_Toc155600097</definedName>
    <definedName name="Google_Sheet_Link_300537463_497735897" hidden="1">_Toc155600097</definedName>
    <definedName name="Google_Sheet_Link_382260538_269558928" localSheetId="29" hidden="1">_Toc155600083</definedName>
    <definedName name="Google_Sheet_Link_382260538_269558928" hidden="1">'Tabla17-20_PAS Fauna'!_Toc155600083</definedName>
    <definedName name="Google_Sheet_Link_459843019_1168477065" localSheetId="29" hidden="1">_Toc155600107</definedName>
    <definedName name="Google_Sheet_Link_459843019_1168477065" hidden="1">[0]!_Toc155600107</definedName>
    <definedName name="Google_Sheet_Link_480314660_1768920112" localSheetId="29" hidden="1">_Toc155600102</definedName>
    <definedName name="Google_Sheet_Link_480314660_1768920112" hidden="1">'Tabla61-64_ExportCITES_PFDM'!_Toc155600102</definedName>
    <definedName name="Google_Sheet_Link_558718978_581754725" localSheetId="29" hidden="1">_Toc155600104</definedName>
    <definedName name="Google_Sheet_Link_558718978_581754725" hidden="1">[0]!_Toc155600104</definedName>
    <definedName name="Google_Sheet_Link_593889246_1168477065" localSheetId="29" hidden="1">_Toc155600111</definedName>
    <definedName name="Google_Sheet_Link_593889246_1168477065" hidden="1">[0]!_Toc155600111</definedName>
    <definedName name="Google_Sheet_Link_624465168_996582130" localSheetId="29" hidden="1">_Toc155600075</definedName>
    <definedName name="Google_Sheet_Link_624465168_996582130" hidden="1">'Tabla7-9_AutCD'!_Toc155600075</definedName>
    <definedName name="Google_Sheet_Link_65733859_2086628736" localSheetId="29" hidden="1">_Toc155600079</definedName>
    <definedName name="Google_Sheet_Link_65733859_2086628736" hidden="1">'Tabla10-11_AutInvest'!_Toc155600079</definedName>
    <definedName name="Google_Sheet_Link_674590194_996582130" localSheetId="29" hidden="1">_Toc155600076</definedName>
    <definedName name="Google_Sheet_Link_674590194_996582130" hidden="1">'Tabla7-9_AutCD'!_Toc155600076</definedName>
    <definedName name="Google_Sheet_Link_712905622_1395821307" localSheetId="29" hidden="1">_Toc155600080</definedName>
    <definedName name="Google_Sheet_Link_712905622_1395821307" hidden="1">Tabla12_CTP!_Toc155600080</definedName>
    <definedName name="Google_Sheet_Link_874577647_1168477065" localSheetId="29" hidden="1">_Toc155600110</definedName>
    <definedName name="Google_Sheet_Link_874577647_1168477065" hidden="1">[0]!_Toc155600110</definedName>
    <definedName name="Google_Sheet_Link_878552288_1168477065" localSheetId="29" hidden="1">_Toc155600108</definedName>
    <definedName name="Google_Sheet_Link_878552288_1168477065" hidden="1">[0]!_Toc155600108</definedName>
    <definedName name="graf" localSheetId="22">#REF!</definedName>
    <definedName name="graf">#REF!</definedName>
    <definedName name="Graf_Options" localSheetId="22">#REF!</definedName>
    <definedName name="Graf_Options">#REF!</definedName>
    <definedName name="Grafico22n" localSheetId="22">#REF!</definedName>
    <definedName name="Grafico22n">#REF!</definedName>
    <definedName name="Graficos">#REF!</definedName>
    <definedName name="GRTES" localSheetId="22">#REF!</definedName>
    <definedName name="GRTES">#REF!</definedName>
    <definedName name="gsfdgs" localSheetId="22">#REF!,#REF!,#REF!,#REF!,#REF!</definedName>
    <definedName name="gsfdgs">#REF!,#REF!,#REF!,#REF!,#REF!</definedName>
    <definedName name="HAR">#REF!</definedName>
    <definedName name="hfghfh">#REF!</definedName>
    <definedName name="hhh">#REF!</definedName>
    <definedName name="HO" localSheetId="22">#REF!</definedName>
    <definedName name="HO">#REF!</definedName>
    <definedName name="HO_2">#REF!</definedName>
    <definedName name="HTML1_1">"[ieim4000.xls]IECM4213!$A$1:$G$37"</definedName>
    <definedName name="HTML1_10">"pabad@inei.gob.pe"</definedName>
    <definedName name="HTML1_11">1</definedName>
    <definedName name="HTML1_12">"C:\IEWM\IEWM4213.htm"</definedName>
    <definedName name="HTML1_2">1</definedName>
    <definedName name="HTML1_3">"EVOLUCION DE LA TASA DE DESEMPLEO"</definedName>
    <definedName name="HTML1_4">""</definedName>
    <definedName name="HTML1_5">""</definedName>
    <definedName name="HTML1_6">1</definedName>
    <definedName name="HTML1_7">1</definedName>
    <definedName name="HTML1_8">"4/11/97"</definedName>
    <definedName name="HTML1_9">""</definedName>
    <definedName name="HTMLCount">1</definedName>
    <definedName name="II">#REF!</definedName>
    <definedName name="Imp">#REF!</definedName>
    <definedName name="IMPR">#REF!,#REF!,#REF!</definedName>
    <definedName name="IMPRESION">#REF!,#REF!</definedName>
    <definedName name="Imprimir_área_IM">#REF!</definedName>
    <definedName name="IN">#REF!</definedName>
    <definedName name="IN_2">#REF!</definedName>
    <definedName name="INDICE">#REF!</definedName>
    <definedName name="INDICEALFABETICO">#REF!</definedName>
    <definedName name="inicio">#REF!</definedName>
    <definedName name="inicio1">#REF!</definedName>
    <definedName name="Input_File" localSheetId="22">#REF!</definedName>
    <definedName name="Input_File">#REF!</definedName>
    <definedName name="Inputs_C1">#REF!</definedName>
    <definedName name="Inputs_C1F">#REF!</definedName>
    <definedName name="Inputs_C3">#REF!</definedName>
    <definedName name="Inputs_C3F">#REF!</definedName>
    <definedName name="Inputs_C5">#REF!</definedName>
    <definedName name="Inputs_C5F">#REF!</definedName>
    <definedName name="Inputs_C6">#REF!</definedName>
    <definedName name="Inputs_C6F">#REF!</definedName>
    <definedName name="Inputs_C8" localSheetId="22">#REF!</definedName>
    <definedName name="Inputs_C8">#REF!</definedName>
    <definedName name="Inputs_C8F" localSheetId="22">#REF!</definedName>
    <definedName name="Inputs_C8F">#REF!</definedName>
    <definedName name="INTERVALS">#REF!</definedName>
    <definedName name="INTERVALS_OLD">#REF!</definedName>
    <definedName name="INVALIDEZ" localSheetId="22">#REF!</definedName>
    <definedName name="INVALIDEZ">#REF!</definedName>
    <definedName name="INVERSION" localSheetId="22">#REF!</definedName>
    <definedName name="INVERSION">#REF!</definedName>
    <definedName name="inversion001" localSheetId="22">#REF!</definedName>
    <definedName name="inversion001">#REF!</definedName>
    <definedName name="inversion01">#REF!</definedName>
    <definedName name="inversiones">#REF!</definedName>
    <definedName name="IPCs_2002_3">#REF!</definedName>
    <definedName name="IPCs_2002_3a">#REF!</definedName>
    <definedName name="IPE_03_04">#REF!</definedName>
    <definedName name="jenny">#REF!</definedName>
    <definedName name="JET">#REF!</definedName>
    <definedName name="jhgfjh">#REF!,#REF!,#REF!</definedName>
    <definedName name="jhjbj">#REF!</definedName>
    <definedName name="kghiog">#REF!,#REF!</definedName>
    <definedName name="leña">#REF!</definedName>
    <definedName name="Libor">#REF!</definedName>
    <definedName name="LTP">#REF!</definedName>
    <definedName name="MACRO">#REF!</definedName>
    <definedName name="MaleData">#REF!</definedName>
    <definedName name="Maximum">#REF!</definedName>
    <definedName name="Maximum_used">#REF!</definedName>
    <definedName name="MEDCOR">#REF!</definedName>
    <definedName name="MEDPRO">#REF!</definedName>
    <definedName name="MENU">#REF!</definedName>
    <definedName name="Meses">#REF!</definedName>
    <definedName name="Meses1">#REF!</definedName>
    <definedName name="mio">#REF!</definedName>
    <definedName name="miuo" localSheetId="22">#REF!</definedName>
    <definedName name="miuo">#REF!</definedName>
    <definedName name="NOM" localSheetId="22">#REF!</definedName>
    <definedName name="NOM">#REF!</definedName>
    <definedName name="NombresDeSeriesC1">#REF!</definedName>
    <definedName name="NombresDeSeriesC3">#REF!</definedName>
    <definedName name="NombresDeSeriesC5">#REF!</definedName>
    <definedName name="NombresDeSeriesC6">#REF!</definedName>
    <definedName name="NUEVA">#REF!</definedName>
    <definedName name="NUMERO">#REF!</definedName>
    <definedName name="NumeroDeFechasDeCuadroDeAFP">#REF!</definedName>
    <definedName name="NumeroDeFechasDeCuadroDeAhorro">#REF!</definedName>
    <definedName name="NumeroDeFechasDeCuadroDeAnexo">#REF!</definedName>
    <definedName name="NumeroDeFechasDeCuadroDeBonos">#REF!</definedName>
    <definedName name="NV" localSheetId="22">#REF!</definedName>
    <definedName name="NV">#REF!</definedName>
    <definedName name="NV_2">#REF!</definedName>
    <definedName name="OCT" localSheetId="22">#REF!</definedName>
    <definedName name="OCT">#REF!</definedName>
    <definedName name="Ordenrent">#REF!</definedName>
    <definedName name="p" localSheetId="22">#REF!</definedName>
    <definedName name="p">#REF!</definedName>
    <definedName name="pa" localSheetId="22">#REF!</definedName>
    <definedName name="pa">#REF!</definedName>
    <definedName name="PanelDeOpciones">#REF!</definedName>
    <definedName name="PanelDeOpcionesParaMenú">#REF!</definedName>
    <definedName name="PanelDeOpcionesSinTítulos">#REF!</definedName>
    <definedName name="PBI">#REF!</definedName>
    <definedName name="pegado" localSheetId="22">#REF!</definedName>
    <definedName name="pegado">#REF!</definedName>
    <definedName name="pgraficos">#REF!</definedName>
    <definedName name="POBLA">#REF!</definedName>
    <definedName name="pobr1" localSheetId="22">#REF!</definedName>
    <definedName name="pobr1">#REF!</definedName>
    <definedName name="porcentajes" localSheetId="22">#REF!</definedName>
    <definedName name="porcentajes">#REF!</definedName>
    <definedName name="PR" localSheetId="22">#REF!</definedName>
    <definedName name="PR">#REF!</definedName>
    <definedName name="PR_2" localSheetId="22">#REF!</definedName>
    <definedName name="PR_2">#REF!</definedName>
    <definedName name="preci" localSheetId="22">#REF!</definedName>
    <definedName name="preci">#REF!</definedName>
    <definedName name="precipitacion" localSheetId="22">#REF!</definedName>
    <definedName name="precipitacion">#REF!</definedName>
    <definedName name="PreCuadro">#REF!</definedName>
    <definedName name="PreCuadroA">#REF!</definedName>
    <definedName name="PREPARA">#REF!</definedName>
    <definedName name="presenta">#REF!</definedName>
    <definedName name="Print_Area_MI">#REF!</definedName>
    <definedName name="Procjudic">#REF!</definedName>
    <definedName name="Proms">#REF!</definedName>
    <definedName name="Pyramid_Filename" localSheetId="22">#REF!</definedName>
    <definedName name="Pyramid_Filename">#REF!</definedName>
    <definedName name="Pyramid_Title" localSheetId="22">#REF!</definedName>
    <definedName name="Pyramid_Title">#REF!</definedName>
    <definedName name="PZs" localSheetId="22">#REF!</definedName>
    <definedName name="PZs">#REF!</definedName>
    <definedName name="Rango_Maestro">#REF!</definedName>
    <definedName name="rango0">#REF!</definedName>
    <definedName name="rango1">#REF!</definedName>
    <definedName name="REAL" localSheetId="22">#REF!</definedName>
    <definedName name="REAL">#REF!</definedName>
    <definedName name="RedsBTPLTP">#REF!</definedName>
    <definedName name="RedsCDBCRP">#REF!</definedName>
    <definedName name="rentames">#REF!</definedName>
    <definedName name="ResEMBIe">#REF!</definedName>
    <definedName name="ResEMBIf">#REF!</definedName>
    <definedName name="ResEMBIp">#REF!</definedName>
    <definedName name="RESULPAS">#REF!</definedName>
    <definedName name="ResVerif">#REF!</definedName>
    <definedName name="rfd">#REF!</definedName>
    <definedName name="RO" localSheetId="22">#REF!</definedName>
    <definedName name="RO">#REF!</definedName>
    <definedName name="RO_2">#REF!</definedName>
    <definedName name="RP_Certificacion" localSheetId="22">#REF!</definedName>
    <definedName name="RP_Certificacion">#REF!</definedName>
    <definedName name="RP_Conservacion" localSheetId="22">#REF!</definedName>
    <definedName name="RP_Conservacion">#REF!</definedName>
    <definedName name="RP_Integracion" localSheetId="22">#REF!</definedName>
    <definedName name="RP_Integracion">#REF!</definedName>
    <definedName name="rrpp">#REF!</definedName>
    <definedName name="sad">#REF!</definedName>
    <definedName name="sadgfdfs" localSheetId="22">#REF!,#REF!</definedName>
    <definedName name="sadgfdfs">#REF!,#REF!</definedName>
    <definedName name="SANCOM">#REF!</definedName>
    <definedName name="sdd" localSheetId="22">#REF!,#REF!,#REF!,#REF!,#REF!</definedName>
    <definedName name="sdd">#REF!,#REF!,#REF!,#REF!,#REF!</definedName>
    <definedName name="sdsadfd" localSheetId="22">#REF!,#REF!,#REF!</definedName>
    <definedName name="sdsadfd">#REF!,#REF!,#REF!</definedName>
    <definedName name="sgfsg">#REF!</definedName>
    <definedName name="SOBREVIVENCIA">#REF!</definedName>
    <definedName name="sss">#REF!,#REF!</definedName>
    <definedName name="Stop_at_age">#REF!</definedName>
    <definedName name="svs">#REF!</definedName>
    <definedName name="Tab_Títulos">#REF!</definedName>
    <definedName name="tabla">#REF!</definedName>
    <definedName name="Tabla_de_Meses">#REF!</definedName>
    <definedName name="Tabla13_CTP_A1">INDICE!$N$15</definedName>
    <definedName name="Tabla13_Depósitos">INDICE!$N$16</definedName>
    <definedName name="TablaMeses">#REF!</definedName>
    <definedName name="TC">#REF!</definedName>
    <definedName name="TC_2002_3">#REF!</definedName>
    <definedName name="TC_2002_3a">#REF!</definedName>
    <definedName name="TCR">#REF!</definedName>
    <definedName name="Test" localSheetId="22">#REF!</definedName>
    <definedName name="Test">#REF!</definedName>
    <definedName name="TIPDOC">#REF!</definedName>
    <definedName name="TIPDOC_A10">#REF!</definedName>
    <definedName name="TIPINFRA">#REF!</definedName>
    <definedName name="Tipo_POA" localSheetId="22">#REF!</definedName>
    <definedName name="Tipo_POA">#REF!</definedName>
    <definedName name="TIPSAN">#REF!</definedName>
    <definedName name="TITL" localSheetId="22">#REF!</definedName>
    <definedName name="TITL">#REF!</definedName>
    <definedName name="treint" localSheetId="22">#REF!</definedName>
    <definedName name="treint">#REF!</definedName>
    <definedName name="TUTOR" localSheetId="22">#REF!</definedName>
    <definedName name="TUTOR">#REF!</definedName>
    <definedName name="UN" localSheetId="22">#REF!</definedName>
    <definedName name="UN">#REF!</definedName>
    <definedName name="UN_2" localSheetId="22">#REF!</definedName>
    <definedName name="UN_2">#REF!</definedName>
    <definedName name="UNIMED_A10">#REF!</definedName>
    <definedName name="UNIMED_A11">#REF!</definedName>
    <definedName name="uno" localSheetId="22">#REF!</definedName>
    <definedName name="uno">#REF!</definedName>
    <definedName name="VALOR">#REF!</definedName>
    <definedName name="VARACU">#REF!</definedName>
    <definedName name="VARMEN">#REF!</definedName>
    <definedName name="VOLUMEN">#REF!</definedName>
    <definedName name="VVALOR">#REF!</definedName>
    <definedName name="wwwww" localSheetId="22">#REF!</definedName>
    <definedName name="wwwww">#REF!</definedName>
    <definedName name="x" localSheetId="22">#REF!</definedName>
    <definedName name="x">#REF!</definedName>
    <definedName name="xCol">#REF!</definedName>
    <definedName name="xCurrent">#REF!</definedName>
    <definedName name="xRuta">#REF!</definedName>
    <definedName name="xRuta2">#REF!</definedName>
    <definedName name="xx">#REF!</definedName>
    <definedName name="xxAMano">#REF!</definedName>
    <definedName name="xxDate" localSheetId="22">#REF!</definedName>
    <definedName name="xxDate">#REF!</definedName>
    <definedName name="xxDEF">#REF!</definedName>
    <definedName name="xxDesF" localSheetId="22">#REF!</definedName>
    <definedName name="xxDesF">#REF!</definedName>
    <definedName name="xxEditarCifrasEnCuadros">#REF!</definedName>
    <definedName name="xxEscalaMínima">#REF!</definedName>
    <definedName name="xxFechaFin">#REF!</definedName>
    <definedName name="xxFechaInicio">#REF!</definedName>
    <definedName name="xxFinalFechasC1">#REF!</definedName>
    <definedName name="xxFinalFechasC3">#REF!</definedName>
    <definedName name="xxFinalFechasC5">#REF!</definedName>
    <definedName name="xxFinalFechasC6">#REF!</definedName>
    <definedName name="xxFinalFechasC8" localSheetId="22">#REF!</definedName>
    <definedName name="xxFinalFechasC8">#REF!</definedName>
    <definedName name="xxFinalSeriesC1">#REF!</definedName>
    <definedName name="xxFinalSeriesC3">#REF!</definedName>
    <definedName name="xxFinalSeriesC5">#REF!</definedName>
    <definedName name="xxFinalSeriesC6">#REF!</definedName>
    <definedName name="xxFinalSeriesC8" localSheetId="22">#REF!</definedName>
    <definedName name="xxFinalSeriesC8">#REF!</definedName>
    <definedName name="xxIdiomaEspañol">#REF!</definedName>
    <definedName name="xxIdiomaInglés">#REF!</definedName>
    <definedName name="xxInicioFechasC1">#REF!</definedName>
    <definedName name="xxInicioFechasC3">#REF!</definedName>
    <definedName name="xxInicioFechasC5">#REF!</definedName>
    <definedName name="xxInicioFechasC6">#REF!</definedName>
    <definedName name="xxInicioFechasC8" localSheetId="22">#REF!</definedName>
    <definedName name="xxInicioFechasC8">#REF!</definedName>
    <definedName name="xxInicioSeriesC1">#REF!</definedName>
    <definedName name="xxInicioSeriesC3">#REF!</definedName>
    <definedName name="xxInicioSeriesC5">#REF!</definedName>
    <definedName name="xxInicioSeriesC6">#REF!</definedName>
    <definedName name="xxInicioSeriesC8" localSheetId="22">#REF!</definedName>
    <definedName name="xxInicioSeriesC8">#REF!</definedName>
    <definedName name="xxInterpol" localSheetId="22">#REF!</definedName>
    <definedName name="xxInterpol">#REF!</definedName>
    <definedName name="xxLanguage">#REF!</definedName>
    <definedName name="xxLapso" localSheetId="22">#REF!</definedName>
    <definedName name="xxLapso">#REF!</definedName>
    <definedName name="xxLastDate" localSheetId="22">#REF!</definedName>
    <definedName name="xxLastDate">#REF!</definedName>
    <definedName name="xxMercado" localSheetId="22">#REF!</definedName>
    <definedName name="xxMercado">#REF!</definedName>
    <definedName name="xxNumeroDeFechasC1">#REF!</definedName>
    <definedName name="xxNumeroDeFechasC3">#REF!</definedName>
    <definedName name="xxNumeroDeFechasC5">#REF!</definedName>
    <definedName name="xxNumeroDeFechasC6">#REF!</definedName>
    <definedName name="xxNumeroDeFechasC8" localSheetId="22">#REF!</definedName>
    <definedName name="xxNumeroDeFechasC8">#REF!</definedName>
    <definedName name="xxOpcionesFAME">#REF!</definedName>
    <definedName name="xxPorcentaje">#REF!</definedName>
    <definedName name="xxPromD">#REF!</definedName>
    <definedName name="xxReal">#REF!</definedName>
    <definedName name="xxSecundary" localSheetId="22">#REF!</definedName>
    <definedName name="xxSecundary">#REF!</definedName>
    <definedName name="xxSelectBTP1">#REF!</definedName>
    <definedName name="xxSelectCDB1">#REF!</definedName>
    <definedName name="xxSufijoEspañol">#REF!</definedName>
    <definedName name="xxSufijoInglés">#REF!</definedName>
    <definedName name="xxTC">#REF!</definedName>
    <definedName name="xxTolerance" localSheetId="22">#REF!</definedName>
    <definedName name="xxTolerance">#REF!</definedName>
    <definedName name="xxUltimaFechaCuadroDeAFP">#REF!</definedName>
    <definedName name="xxUltimaFechaCuadroDeAhorro">#REF!</definedName>
    <definedName name="xxUltimaFechaCuadroDeBolsa">#REF!</definedName>
    <definedName name="xxUltimaFechaCuadroDeBonos">#REF!</definedName>
    <definedName name="xxUltimaFechaCuadroDeTasas">#REF!</definedName>
    <definedName name="xxUltimaFechaDeCuadroAnexo">#REF!</definedName>
    <definedName name="xxx" localSheetId="22">#REF!</definedName>
    <definedName name="xxx">#REF!</definedName>
    <definedName name="xxxx" localSheetId="22">#REF!</definedName>
    <definedName name="xxxx">#REF!</definedName>
    <definedName name="xxxxxxx" localSheetId="22">#REF!</definedName>
    <definedName name="xxxxxxx">#REF!</definedName>
    <definedName name="xxxxxxxxxxx">#REF!</definedName>
    <definedName name="xxxxxxxxxxxxxx">#REF!</definedName>
    <definedName name="xxxxxxxxxxxxxxxx">#REF!</definedName>
    <definedName name="YieldsDAY">#REF!</definedName>
    <definedName name="YieldsFIN">#REF!</definedName>
    <definedName name="YieldsPRM">#REF!</definedName>
    <definedName name="ZONUTM">#REF!</definedName>
    <definedName name="zssdd" localSheetId="22">#REF!</definedName>
    <definedName name="zssdd">#REF!</definedName>
    <definedName name="z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1" l="1"/>
  <c r="F31" i="11"/>
  <c r="E20" i="35"/>
  <c r="D20" i="35"/>
  <c r="C15" i="46"/>
  <c r="C14" i="46"/>
  <c r="C10" i="46"/>
  <c r="C9" i="46"/>
  <c r="C7" i="46" s="1"/>
  <c r="H16" i="44"/>
  <c r="C12" i="46" l="1"/>
  <c r="C17" i="46"/>
  <c r="D10" i="26" l="1"/>
  <c r="C10" i="26"/>
  <c r="E88" i="25"/>
  <c r="I72" i="25"/>
  <c r="H72" i="25"/>
  <c r="J72" i="25" s="1"/>
  <c r="G72" i="25"/>
  <c r="E72" i="25"/>
  <c r="D72" i="25"/>
  <c r="C72" i="25"/>
  <c r="F70" i="25"/>
  <c r="F68" i="25"/>
  <c r="F67" i="25"/>
  <c r="F65" i="25"/>
  <c r="F64" i="25"/>
  <c r="F63" i="25"/>
  <c r="F61" i="25"/>
  <c r="F60" i="25"/>
  <c r="F59" i="25"/>
  <c r="H52" i="25"/>
  <c r="G52" i="25"/>
  <c r="F52" i="25"/>
  <c r="E52" i="25"/>
  <c r="D52" i="25"/>
  <c r="C52" i="25"/>
  <c r="D31" i="25"/>
  <c r="F25" i="25" s="1"/>
  <c r="C31" i="25"/>
  <c r="E25" i="25" s="1"/>
  <c r="F20" i="25"/>
  <c r="E20" i="25"/>
  <c r="G20" i="25" s="1"/>
  <c r="D20" i="25"/>
  <c r="C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H64" i="24"/>
  <c r="G64" i="24"/>
  <c r="F64" i="24"/>
  <c r="G17" i="24"/>
  <c r="E17" i="24"/>
  <c r="D17" i="24"/>
  <c r="C17" i="24"/>
  <c r="F16" i="24"/>
  <c r="F15" i="24"/>
  <c r="F14" i="24"/>
  <c r="F13" i="24"/>
  <c r="F12" i="24"/>
  <c r="F11" i="24"/>
  <c r="F10" i="24"/>
  <c r="F17" i="24" s="1"/>
  <c r="F84" i="25" l="1"/>
  <c r="F83" i="25"/>
  <c r="F81" i="25"/>
  <c r="F85" i="25"/>
  <c r="F80" i="25"/>
  <c r="F86" i="25"/>
  <c r="F79" i="25"/>
  <c r="F82" i="25"/>
  <c r="F78" i="25"/>
  <c r="F72" i="25"/>
  <c r="F77" i="25"/>
  <c r="F30" i="25"/>
  <c r="E30" i="25"/>
  <c r="F29" i="25"/>
  <c r="E29" i="25"/>
  <c r="F28" i="25"/>
  <c r="E28" i="25"/>
  <c r="F27" i="25"/>
  <c r="E27" i="25"/>
  <c r="F26" i="25"/>
  <c r="F31" i="25" s="1"/>
  <c r="E26" i="25"/>
  <c r="E31" i="25" s="1"/>
  <c r="E65" i="22" l="1"/>
  <c r="C34" i="21"/>
  <c r="D34" i="21"/>
  <c r="E22" i="41"/>
  <c r="E10" i="41"/>
  <c r="E7" i="41"/>
  <c r="E25" i="41" s="1"/>
  <c r="D63" i="40"/>
  <c r="E10" i="18"/>
  <c r="D1273" i="16"/>
  <c r="C21" i="16"/>
  <c r="D947" i="39"/>
  <c r="D15" i="15"/>
  <c r="E15" i="15"/>
  <c r="C15" i="15"/>
  <c r="C11" i="13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73" i="12"/>
  <c r="E66" i="11"/>
  <c r="D6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C47" i="11"/>
  <c r="H46" i="9"/>
  <c r="E34" i="21" l="1"/>
  <c r="D46" i="9" l="1"/>
  <c r="E46" i="9"/>
  <c r="F46" i="9"/>
  <c r="G46" i="9"/>
  <c r="C46" i="9"/>
  <c r="D61" i="2"/>
  <c r="E61" i="2"/>
  <c r="F61" i="2"/>
  <c r="G61" i="2"/>
  <c r="H61" i="2"/>
  <c r="C61" i="2"/>
  <c r="D17" i="2"/>
  <c r="E17" i="2"/>
  <c r="F17" i="2"/>
  <c r="G17" i="2"/>
  <c r="H17" i="2"/>
  <c r="I17" i="2"/>
  <c r="J17" i="2"/>
  <c r="K17" i="2"/>
  <c r="L17" i="2"/>
  <c r="C17" i="2"/>
  <c r="D34" i="2"/>
  <c r="C34" i="2"/>
  <c r="C63" i="12"/>
  <c r="D63" i="12"/>
  <c r="E63" i="12"/>
  <c r="F63" i="12"/>
  <c r="G61" i="12"/>
  <c r="G62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7" i="11"/>
  <c r="E31" i="11"/>
  <c r="D31" i="11"/>
  <c r="F72" i="4"/>
  <c r="G72" i="4"/>
  <c r="D41" i="4"/>
  <c r="E41" i="4"/>
  <c r="F41" i="4"/>
  <c r="C41" i="4"/>
  <c r="D16" i="4"/>
  <c r="D72" i="4"/>
  <c r="C16" i="4"/>
  <c r="C32" i="3"/>
  <c r="D32" i="3"/>
  <c r="E32" i="3"/>
  <c r="G63" i="12" l="1"/>
  <c r="H14" i="45" l="1"/>
  <c r="V14" i="33" l="1"/>
  <c r="V13" i="33"/>
  <c r="V12" i="33"/>
  <c r="V11" i="33"/>
  <c r="V10" i="33"/>
  <c r="V9" i="33"/>
  <c r="V8" i="33"/>
  <c r="AB17" i="41" l="1"/>
  <c r="AB19" i="41"/>
  <c r="AB18" i="41"/>
  <c r="AC19" i="41" l="1"/>
  <c r="AC17" i="41"/>
  <c r="AC18" i="41"/>
  <c r="S29" i="39" l="1"/>
  <c r="D31" i="12" l="1"/>
  <c r="F44" i="35" l="1"/>
  <c r="AM18" i="32"/>
  <c r="E87" i="25"/>
  <c r="AF10" i="41"/>
  <c r="T11" i="39"/>
  <c r="C11" i="14"/>
  <c r="E95" i="12"/>
  <c r="D95" i="12"/>
  <c r="C95" i="12"/>
  <c r="C31" i="12"/>
  <c r="C24" i="9"/>
  <c r="E31" i="8"/>
  <c r="D31" i="8"/>
  <c r="C31" i="8"/>
  <c r="E26" i="7"/>
  <c r="D26" i="7"/>
  <c r="C26" i="7"/>
  <c r="F43" i="5"/>
  <c r="E43" i="5"/>
  <c r="D43" i="5"/>
  <c r="C43" i="5"/>
  <c r="E22" i="5"/>
  <c r="D22" i="5"/>
  <c r="C22" i="5"/>
  <c r="E72" i="4"/>
  <c r="C72" i="4"/>
  <c r="D57" i="3"/>
  <c r="C57" i="3"/>
  <c r="F71" i="2"/>
  <c r="E71" i="2"/>
  <c r="D71" i="2"/>
  <c r="C71" i="2"/>
  <c r="G43" i="5" l="1"/>
  <c r="AG8" i="41"/>
  <c r="AG9" i="41"/>
  <c r="AG7" i="41"/>
  <c r="F95" i="12"/>
  <c r="F87" i="25" l="1"/>
</calcChain>
</file>

<file path=xl/sharedStrings.xml><?xml version="1.0" encoding="utf-8"?>
<sst xmlns="http://schemas.openxmlformats.org/spreadsheetml/2006/main" count="6374" uniqueCount="2397">
  <si>
    <t>ÍNDICE</t>
  </si>
  <si>
    <t>HOJA</t>
  </si>
  <si>
    <t>I. GESTIÓN FORESTAL Y DE FAUNA SILVESTRE</t>
  </si>
  <si>
    <t>1.1. Títulos habilitantes</t>
  </si>
  <si>
    <t>1.1.1. Concesiones forestales</t>
  </si>
  <si>
    <t>'Tabla1-4 TH'!B7</t>
  </si>
  <si>
    <t>1.1.2. Bosque Local, Cesión en uso para sistemas agroforestales, Permisos y Autorizaciones forestales y de fauna silvestre</t>
  </si>
  <si>
    <t>1.2. Otros actos administrativos</t>
  </si>
  <si>
    <t>1.2.1. Licencias de caza deportiva, cetrería y captura comercial</t>
  </si>
  <si>
    <t>'Tabla5-6_LicenciasCD'!A1</t>
  </si>
  <si>
    <t>1.2.2. Autorizaciones de caza deportiva y captura comercial</t>
  </si>
  <si>
    <t>'Tabla7-9_AutCD'!A1</t>
  </si>
  <si>
    <t>1.2.3. Autorizaciones de investigación científica forestal y de fauna silvestre</t>
  </si>
  <si>
    <t>'Tabla10-11_AutInvest'!A1</t>
  </si>
  <si>
    <t>II. REGISTROS NACIONALES FORESTALES Y DE FAUNA SILVESTRE</t>
  </si>
  <si>
    <t>2.1. Registro Nacional de Plantaciones Forestales</t>
  </si>
  <si>
    <t>2.2. Registro Nacional de Licencias de Regentes</t>
  </si>
  <si>
    <t>2.3. Registro Nacional de Infractores</t>
  </si>
  <si>
    <t>2.4. Registro Nacional de Centros de Propagación</t>
  </si>
  <si>
    <t>III. PRODUCCIÓN FORESTAL MADERABLE Y DIFERENTE A LA MADERA</t>
  </si>
  <si>
    <t>3.1. Producción forestal maderable</t>
  </si>
  <si>
    <t>3.1.1. Producción de madera rolliza</t>
  </si>
  <si>
    <t>3.1.2. Producción de madera transformada</t>
  </si>
  <si>
    <t>a) Madera aserrada</t>
  </si>
  <si>
    <t>b) Durmientes</t>
  </si>
  <si>
    <t>c)  Parquet</t>
  </si>
  <si>
    <t>d) Madera laminada y chapas decorativas</t>
  </si>
  <si>
    <t>3.1.3. Producción de combustibles</t>
  </si>
  <si>
    <t>a) Leña</t>
  </si>
  <si>
    <t>b) Carbón vegetal</t>
  </si>
  <si>
    <t>3.2. Producción forestal diferente a la madera</t>
  </si>
  <si>
    <t>IV. MANEJO DE VICUÑAS</t>
  </si>
  <si>
    <t>4.1. Titulares de manejo</t>
  </si>
  <si>
    <t>4.2. Captura y esquila de vicuñas vivas</t>
  </si>
  <si>
    <t>4.3. Caza furtiva</t>
  </si>
  <si>
    <t>V. COMERCIO EXTERIOR DE PRODUCTOS FORESTALES MADERABLES, DIFERENTES A LA MADERA Y DE FAUNA SILVESTRE</t>
  </si>
  <si>
    <t>5.1. Comercio exterior de productos forestales maderables</t>
  </si>
  <si>
    <t>5.1.1. Exportación de productos forestales maderables</t>
  </si>
  <si>
    <t>5.1.2. Importación de productos forestales maderables</t>
  </si>
  <si>
    <t>5.2. Comercio exterior de productos forestales diferentes a la madera</t>
  </si>
  <si>
    <t>5.2.1. Exportación de productos forestales diferentes a la madera</t>
  </si>
  <si>
    <t>5.2.2. Importación de productos forestales diferentes a la madera</t>
  </si>
  <si>
    <t>5.3. Balanza comercial de productos forestales</t>
  </si>
  <si>
    <t>(Ir al Índice)</t>
  </si>
  <si>
    <t>Departamento</t>
  </si>
  <si>
    <t>Total</t>
  </si>
  <si>
    <t>Conservación</t>
  </si>
  <si>
    <t>Maderable</t>
  </si>
  <si>
    <t>Ecoturismo</t>
  </si>
  <si>
    <t>N°</t>
  </si>
  <si>
    <t>Loreto</t>
  </si>
  <si>
    <t>Madre de Dios</t>
  </si>
  <si>
    <t>San Martín</t>
  </si>
  <si>
    <t>Fuente: Autoridades Regionales Forestales y de Fauna Silvestre (ARFFS)</t>
  </si>
  <si>
    <t>Autorizaciones</t>
  </si>
  <si>
    <t>Permisos</t>
  </si>
  <si>
    <t>Centro de rescate</t>
  </si>
  <si>
    <t>Zoocriadero</t>
  </si>
  <si>
    <t>Arequipa</t>
  </si>
  <si>
    <t>Cajamarca</t>
  </si>
  <si>
    <t>Cusco</t>
  </si>
  <si>
    <t>Lima</t>
  </si>
  <si>
    <t>Tipo de licencia</t>
  </si>
  <si>
    <t>Figura 1</t>
  </si>
  <si>
    <t>Caza deportiva</t>
  </si>
  <si>
    <t>Captura comercial*</t>
  </si>
  <si>
    <t>Amazonas</t>
  </si>
  <si>
    <t>Áncash</t>
  </si>
  <si>
    <t>Apurímac</t>
  </si>
  <si>
    <t>Ayacucho</t>
  </si>
  <si>
    <t>Huancavelica</t>
  </si>
  <si>
    <t>Huánuco</t>
  </si>
  <si>
    <t>Ica</t>
  </si>
  <si>
    <t>Junín</t>
  </si>
  <si>
    <t>La Libertad</t>
  </si>
  <si>
    <t>Lambayeque</t>
  </si>
  <si>
    <t>Moquegua</t>
  </si>
  <si>
    <t>Pasco</t>
  </si>
  <si>
    <t>Piura</t>
  </si>
  <si>
    <t>Puno</t>
  </si>
  <si>
    <t>Tacna</t>
  </si>
  <si>
    <t>*Información preliminar</t>
  </si>
  <si>
    <t>Empresa</t>
  </si>
  <si>
    <t>N° cursos</t>
  </si>
  <si>
    <t>N° participantes aprobados</t>
  </si>
  <si>
    <t>CARDUMEN SPORT E.I.R.L.</t>
  </si>
  <si>
    <t>CHE TOVER S.R.L.</t>
  </si>
  <si>
    <t>CONTAKTO S.A.C.</t>
  </si>
  <si>
    <t>EL MITAYERO E.I.R.L.</t>
  </si>
  <si>
    <t>IMPORTACIONES BLACK &amp; WHITE S.R.L.</t>
  </si>
  <si>
    <t>IMPORTACIONES THE BLACK S.R.L.</t>
  </si>
  <si>
    <t>QUARTZ SEGURIDAD Y VIGILANCIA S.R.L.</t>
  </si>
  <si>
    <t>SAFARI RANCH S.A.C.</t>
  </si>
  <si>
    <t>SERVICIOS GENERALES VIGILANCIA &amp; SEGURIDAD PRECIADO E.I.R.L.</t>
  </si>
  <si>
    <t>YACHAY ALLPAQ E.I.R.L.</t>
  </si>
  <si>
    <t>Fuente: Empresas autorizadas que dictan el curso de Educación, seguridad y ética en la caza deportiva</t>
  </si>
  <si>
    <t>Tipo de autorización</t>
  </si>
  <si>
    <t>Caza deportiva*</t>
  </si>
  <si>
    <t>Especie</t>
  </si>
  <si>
    <t>Figura 2</t>
  </si>
  <si>
    <t>Familia</t>
  </si>
  <si>
    <t>Scarabaeidae (escarabajo)</t>
  </si>
  <si>
    <t>Nymphalidae (mariposa)</t>
  </si>
  <si>
    <t>Lycaenidae (mariposa)</t>
  </si>
  <si>
    <t>Pieridae (mariposa)</t>
  </si>
  <si>
    <t>Fulgoridae (chicharrita)</t>
  </si>
  <si>
    <t>Papilionidae (mariposa)</t>
  </si>
  <si>
    <t>Saturniidae (mariposa)</t>
  </si>
  <si>
    <t>Hesperiidae (mariposa)</t>
  </si>
  <si>
    <t>Arctiidae (mariposa)</t>
  </si>
  <si>
    <t>Membracidae (chicharrita)</t>
  </si>
  <si>
    <t>Cerambycidae (escarabajo)</t>
  </si>
  <si>
    <t>Buprestidae (escarabajo)</t>
  </si>
  <si>
    <t>Noctuidae (polilla)</t>
  </si>
  <si>
    <t>Riodinidae (mariposa)</t>
  </si>
  <si>
    <t>Romaleidae (saltamontes)</t>
  </si>
  <si>
    <t>Sphingidae (polilla)</t>
  </si>
  <si>
    <t>Uraniidae (mariposa)</t>
  </si>
  <si>
    <t>Reduviidae (chinche)</t>
  </si>
  <si>
    <t>Pseudostigmatidae (libélula)</t>
  </si>
  <si>
    <t>Gryllidae (grillo)</t>
  </si>
  <si>
    <t>Total - parcial (principales familias)</t>
  </si>
  <si>
    <t>Figura 3</t>
  </si>
  <si>
    <t>Figura 4</t>
  </si>
  <si>
    <t xml:space="preserve"> </t>
  </si>
  <si>
    <t>Reino (tipo de recurso)</t>
  </si>
  <si>
    <t>Animalia</t>
  </si>
  <si>
    <t>Fungi</t>
  </si>
  <si>
    <t>Plantae</t>
  </si>
  <si>
    <t>1</t>
  </si>
  <si>
    <t>2</t>
  </si>
  <si>
    <t>3</t>
  </si>
  <si>
    <t>4 a más</t>
  </si>
  <si>
    <t>Otros</t>
  </si>
  <si>
    <t>Fuente: Dirección General de Gestión Sostenible del Patrimonio Forestal y de Fauna Silvestre – DGGSPFFS</t>
  </si>
  <si>
    <t>Figura 5</t>
  </si>
  <si>
    <t>Figura 6</t>
  </si>
  <si>
    <t>Flora</t>
  </si>
  <si>
    <t>Fauna</t>
  </si>
  <si>
    <t>Carbón vegetal (kg)</t>
  </si>
  <si>
    <t>Leña (m³)</t>
  </si>
  <si>
    <t>Madera aserrada (m³)</t>
  </si>
  <si>
    <t>Madera rolliza (m³)</t>
  </si>
  <si>
    <t>Carne (kg)</t>
  </si>
  <si>
    <t>Carbón vegetal</t>
  </si>
  <si>
    <t>Madera aserrada</t>
  </si>
  <si>
    <t>Nombre científico</t>
  </si>
  <si>
    <t>Nombre común</t>
  </si>
  <si>
    <t>Topa</t>
  </si>
  <si>
    <t>Pashaco</t>
  </si>
  <si>
    <t>Cachimbo</t>
  </si>
  <si>
    <t>Ishpingo</t>
  </si>
  <si>
    <t>Moena</t>
  </si>
  <si>
    <t>Ana caspi</t>
  </si>
  <si>
    <t>Congona</t>
  </si>
  <si>
    <t>Panguana</t>
  </si>
  <si>
    <t>Palisangre</t>
  </si>
  <si>
    <t>Capirona</t>
  </si>
  <si>
    <t>Misa</t>
  </si>
  <si>
    <t>Almendro</t>
  </si>
  <si>
    <t>Cedrela montana</t>
  </si>
  <si>
    <t>Cedrela odorata</t>
  </si>
  <si>
    <t>Tornillo</t>
  </si>
  <si>
    <t>Lupuna</t>
  </si>
  <si>
    <t>Quina quina</t>
  </si>
  <si>
    <t>Mashonaste</t>
  </si>
  <si>
    <t>Sapote</t>
  </si>
  <si>
    <t>Copaiba</t>
  </si>
  <si>
    <t>Shihuahuaco</t>
  </si>
  <si>
    <t>Carahuasca</t>
  </si>
  <si>
    <t>Bolaina</t>
  </si>
  <si>
    <t>Achihua</t>
  </si>
  <si>
    <t>Catahua</t>
  </si>
  <si>
    <t>Azucar huayo</t>
  </si>
  <si>
    <t>Aguano masha</t>
  </si>
  <si>
    <t>Quinilla</t>
  </si>
  <si>
    <t>Estoraque</t>
  </si>
  <si>
    <t>Huayruro</t>
  </si>
  <si>
    <t>Cumala</t>
  </si>
  <si>
    <t>Copal</t>
  </si>
  <si>
    <t>Yacushapana</t>
  </si>
  <si>
    <t>Figura 9</t>
  </si>
  <si>
    <t>Abandono/ hallazgo</t>
  </si>
  <si>
    <t>PAS</t>
  </si>
  <si>
    <t>Prov. Const. Callao</t>
  </si>
  <si>
    <t>Clase/Phylum</t>
  </si>
  <si>
    <t>Vivo</t>
  </si>
  <si>
    <t>Muerto</t>
  </si>
  <si>
    <t>Disecado/ taxidermizado</t>
  </si>
  <si>
    <t>Cabeza taxidermizada/ cráneo</t>
  </si>
  <si>
    <t>Esqueleto/ carcasa</t>
  </si>
  <si>
    <t>Caparazón</t>
  </si>
  <si>
    <t>Partes/piezas</t>
  </si>
  <si>
    <t>Piel/cuero</t>
  </si>
  <si>
    <t>Colmillos/dientes</t>
  </si>
  <si>
    <t>Plumas</t>
  </si>
  <si>
    <t>Total*</t>
  </si>
  <si>
    <t>Anfibio</t>
  </si>
  <si>
    <t>Ave</t>
  </si>
  <si>
    <t>Invertebrado</t>
  </si>
  <si>
    <t>Mamífero</t>
  </si>
  <si>
    <t>Reptil</t>
  </si>
  <si>
    <t>Vertebrado</t>
  </si>
  <si>
    <t xml:space="preserve">  </t>
  </si>
  <si>
    <t>Cuniculus paca</t>
  </si>
  <si>
    <t>Majaz/Picuro</t>
  </si>
  <si>
    <t>Tayassu pecari</t>
  </si>
  <si>
    <t>Huangana</t>
  </si>
  <si>
    <t>Dicotyles tajacu</t>
  </si>
  <si>
    <t>Sajino</t>
  </si>
  <si>
    <t>Mazama americana</t>
  </si>
  <si>
    <t>Venado rojo</t>
  </si>
  <si>
    <t>Sachavaca</t>
  </si>
  <si>
    <t>Hydrochoerus hydrochaeris</t>
  </si>
  <si>
    <t>Ronsoco</t>
  </si>
  <si>
    <t>Armadillo</t>
  </si>
  <si>
    <t>Caiman crocodilus</t>
  </si>
  <si>
    <t>Caimán blanco</t>
  </si>
  <si>
    <t>Hydrobates markhami</t>
  </si>
  <si>
    <t>Golondrina de mar de Markham</t>
  </si>
  <si>
    <t>Podocnemis unifilis</t>
  </si>
  <si>
    <t>Taricaya</t>
  </si>
  <si>
    <t>Lepidoptera</t>
  </si>
  <si>
    <t>Mariposa</t>
  </si>
  <si>
    <t>Chelonoidis denticulatus</t>
  </si>
  <si>
    <t>Motelo</t>
  </si>
  <si>
    <t>Telmatobius sp.</t>
  </si>
  <si>
    <t>Rana acuática</t>
  </si>
  <si>
    <t>Boa constrictor</t>
  </si>
  <si>
    <t>Mantona</t>
  </si>
  <si>
    <t>Brotogeris versicolurus</t>
  </si>
  <si>
    <t>Pihuicho ala amarilla</t>
  </si>
  <si>
    <t>Hydrobates hornbyi</t>
  </si>
  <si>
    <t>Golondrina de mar acollarada</t>
  </si>
  <si>
    <t>Total parcial (principales especies)</t>
  </si>
  <si>
    <t>Nota: incluye todos los estados de los especímenes</t>
  </si>
  <si>
    <t>Figura 11</t>
  </si>
  <si>
    <t>N° Certificados de inscripción</t>
  </si>
  <si>
    <t>Superficie (ha)</t>
  </si>
  <si>
    <t>Régimen de tenencia</t>
  </si>
  <si>
    <t>Comunidad campesina</t>
  </si>
  <si>
    <t>Comunidad nativa</t>
  </si>
  <si>
    <t>Dominio público</t>
  </si>
  <si>
    <t>Predio privado</t>
  </si>
  <si>
    <t>Ucayali</t>
  </si>
  <si>
    <t>Finalidad de la plantación forestal</t>
  </si>
  <si>
    <t>Producción</t>
  </si>
  <si>
    <t>Protección</t>
  </si>
  <si>
    <t>Restauración</t>
  </si>
  <si>
    <t xml:space="preserve">Categorías de regencia forestal y de fauna silvestre </t>
  </si>
  <si>
    <t>N° de licencias</t>
  </si>
  <si>
    <t>Fuente: Dirección de Gestión Sostenible del Patrimonio de Fauna Silvestre (DGSPFS - DGGSPFFS), Dirección de Gestión Sostenible del Patrimonio Forestal (DGSPF - DGGSPFFS)</t>
  </si>
  <si>
    <t>Órgano sancionador</t>
  </si>
  <si>
    <t>ARFFS</t>
  </si>
  <si>
    <t>OSINFOR</t>
  </si>
  <si>
    <t>SERFOR (DCGPFFS - DGGSPFFS)</t>
  </si>
  <si>
    <t>SERNANP</t>
  </si>
  <si>
    <t>Fuente: ARFFS, OSINFOR, DCGPFFS - DGGSPFFS, SERNANP</t>
  </si>
  <si>
    <t>Laboratorio de cultivo in vitro</t>
  </si>
  <si>
    <t>Vivero ornamental</t>
  </si>
  <si>
    <t>Volumen (m³)*</t>
  </si>
  <si>
    <t>Madera rolliza (m³)*</t>
  </si>
  <si>
    <t>porcentaje</t>
  </si>
  <si>
    <t>Capinurí</t>
  </si>
  <si>
    <t>Azúcar huayo</t>
  </si>
  <si>
    <t>Cachimbo colorado</t>
  </si>
  <si>
    <t>Tahuarí</t>
  </si>
  <si>
    <t>Figura 15</t>
  </si>
  <si>
    <t xml:space="preserve"> Nombre común</t>
  </si>
  <si>
    <t xml:space="preserve"> Nombre científico</t>
  </si>
  <si>
    <t xml:space="preserve"> Volumen (m³)*</t>
  </si>
  <si>
    <t xml:space="preserve"> Población rural censada 2017</t>
  </si>
  <si>
    <t>Volumen estimado (m³)</t>
  </si>
  <si>
    <t>Porcentaje (%)</t>
  </si>
  <si>
    <t>Tumbes</t>
  </si>
  <si>
    <t>Fuente: INEI-Censos Nacionales Censos Nacionales de Población y Vivienda 2017</t>
  </si>
  <si>
    <t xml:space="preserve">Nota: Se estima que la población rural de la Costa registra un consumo anual percápita de 0,5 m³ (r), la Sierra 1,1 m³ (r) y la Selva 1,3 m³ ; en los departamentos con dos o más regiones naturales se utilizó el promedio </t>
  </si>
  <si>
    <t>Unidad de medida</t>
  </si>
  <si>
    <t>unidad</t>
  </si>
  <si>
    <t>Tara en polvo</t>
  </si>
  <si>
    <t>L</t>
  </si>
  <si>
    <t>Producto</t>
  </si>
  <si>
    <t>Cantidad</t>
  </si>
  <si>
    <t>Figura 19</t>
  </si>
  <si>
    <t>Tipo de manejo</t>
  </si>
  <si>
    <t>Silvestría</t>
  </si>
  <si>
    <t>Semicautiverio</t>
  </si>
  <si>
    <t>Silvestría y semicautiverio</t>
  </si>
  <si>
    <t>N° DEMA</t>
  </si>
  <si>
    <t>Fuente: Dirección de Gestión Sostenible del Patrimonio de Fauna Silvestre (DGSPFS – DGGSPFFS) y Administraciones Técnicas Forestales y de Fauna Silvestre (ATFFS).</t>
  </si>
  <si>
    <t>Titular de manejo</t>
  </si>
  <si>
    <t>Figura 20</t>
  </si>
  <si>
    <t>Nº Titulares de manejo</t>
  </si>
  <si>
    <t>N° Operativos (chaccus)</t>
  </si>
  <si>
    <t>Fibra esquilada (kg)</t>
  </si>
  <si>
    <t>N° Vicuñas esquiladas</t>
  </si>
  <si>
    <t>Peso promedio del vellón (g)</t>
  </si>
  <si>
    <t>Promedio</t>
  </si>
  <si>
    <t>Fuente: Gobiernos Regionales</t>
  </si>
  <si>
    <t>Otro tipo de organización</t>
  </si>
  <si>
    <t>Figura 21</t>
  </si>
  <si>
    <t>Rango</t>
  </si>
  <si>
    <t>% Titulares de manejo</t>
  </si>
  <si>
    <t>% Fibra esquilada</t>
  </si>
  <si>
    <t>Menos de 5 kg</t>
  </si>
  <si>
    <t>De 5,001 a 10 kg</t>
  </si>
  <si>
    <t>De 10,001 a 20 kg</t>
  </si>
  <si>
    <t>De 20,001 a 50 kg</t>
  </si>
  <si>
    <t>De 50,001 a 100 kg</t>
  </si>
  <si>
    <t>Mayor a 100,001 kg</t>
  </si>
  <si>
    <t>Fibra (kg)</t>
  </si>
  <si>
    <t>Porcentaje %</t>
  </si>
  <si>
    <t>Total - parcial (titulares con mayor fibra obtenida)</t>
  </si>
  <si>
    <t>N° vicuñas muertas encontradas</t>
  </si>
  <si>
    <t>AÑO</t>
  </si>
  <si>
    <t xml:space="preserve">REPORTE DE CAZA </t>
  </si>
  <si>
    <t>Fuente: Dirección de Control de la Gestión Forestal y de Fauna Silvestre (DCGPFFS - DGGSPFFS)</t>
  </si>
  <si>
    <t xml:space="preserve">Partida arancelaria </t>
  </si>
  <si>
    <t>Descripción de partida</t>
  </si>
  <si>
    <t>Valor FOB ($)</t>
  </si>
  <si>
    <t>Leña; madera en plaquitas, aserrín, briquetas; aserrin</t>
  </si>
  <si>
    <t>Distinta de la de coníferas</t>
  </si>
  <si>
    <t>Los demás</t>
  </si>
  <si>
    <t>Madera manufacturada</t>
  </si>
  <si>
    <t>Muebles de madera</t>
  </si>
  <si>
    <t>Madera en bruto, incluso descortezada, descarburada o escuadrada</t>
  </si>
  <si>
    <t>Las demás</t>
  </si>
  <si>
    <t>Fuente: Superintendencia Nacional de Administración Tributarias - SUNAT</t>
  </si>
  <si>
    <t>De eucalipto (eucalyptus spp.)</t>
  </si>
  <si>
    <t>Figura 23</t>
  </si>
  <si>
    <t>Lana de madera; harina de madera.</t>
  </si>
  <si>
    <t>Virola, imbuia y balsa</t>
  </si>
  <si>
    <t>Hojas para chapado; cortadas o desenrolladas, incluso cepilladas</t>
  </si>
  <si>
    <t>Madera incluidas tablillas y frisos para parques,perfilada longitudinalmente</t>
  </si>
  <si>
    <t>Madera moldurada</t>
  </si>
  <si>
    <t>Tablillas y frisos para parqués, sin ensamblar</t>
  </si>
  <si>
    <t>Tableros</t>
  </si>
  <si>
    <t>Tableros de partículas</t>
  </si>
  <si>
    <t>Tableros llamados oriented strand board (osb)</t>
  </si>
  <si>
    <t>De espesor inferior o igual a 5 mm</t>
  </si>
  <si>
    <t>De espesor superior a 9 mm</t>
  </si>
  <si>
    <t>De densidad superior a 0,8 g/cm³</t>
  </si>
  <si>
    <t>De densidad superior a 0,5 g/cm³ pero inferior o igual a 0,8 g/cm³</t>
  </si>
  <si>
    <t>Madera contrachapada (Triplay) chapada y madera estratificada similar</t>
  </si>
  <si>
    <t>Que tengan, por lo menos, una hoja externa de maderas tropicales</t>
  </si>
  <si>
    <t>Las demás, que contengan por lo menos, una hoja externa de madera distinta de la de coníferas, no mencionadas en la subpartida 4412.33</t>
  </si>
  <si>
    <t>Las demás, con las dos hojas externas de madera de coníferas</t>
  </si>
  <si>
    <t>Madera densificada en bloques, tablas, tiras o perfiles.</t>
  </si>
  <si>
    <t>Cajones, cajas, jaulas, tambores y envases similares; carretes para cables</t>
  </si>
  <si>
    <t>Paletas, paletas caja y demás plataformas para carga; collarines para paletas</t>
  </si>
  <si>
    <t>Herramientas</t>
  </si>
  <si>
    <t>Encofrados para hormigón</t>
  </si>
  <si>
    <t>Los demás, para suelos en mosaico</t>
  </si>
  <si>
    <t>Tablas para pan, tablas para cortar y artículos similares</t>
  </si>
  <si>
    <t>Perchas para prendas de vestir</t>
  </si>
  <si>
    <t>Canillas, carretes, bobinas para la hilatura o el tejido y para hilo de coser, y artículos similares, de madera torneada</t>
  </si>
  <si>
    <t>Mondadientes</t>
  </si>
  <si>
    <t>Palitos y cucharitas planas del tipo de los utilizados para dulces y helados</t>
  </si>
  <si>
    <t>Pasta química de madera a la sosa (soda) o al sulfato, excepto la pasta para disolver</t>
  </si>
  <si>
    <t>De coníferas</t>
  </si>
  <si>
    <t>Los démas papeles o cartones obtenidos principalmente a partir de pasta química blanqueada sin colorear en la masa</t>
  </si>
  <si>
    <t>Papel y cartón; manufacturas de pasta de celulosa, de papel o cartón</t>
  </si>
  <si>
    <t>Papel prensa en bobinas (rollos) o en hojas.</t>
  </si>
  <si>
    <t>Papel y cartón hechos a mano (hoja a hoja)</t>
  </si>
  <si>
    <t>Otros papeles de seguridad</t>
  </si>
  <si>
    <t>Crudos</t>
  </si>
  <si>
    <t>Crudo</t>
  </si>
  <si>
    <t>Para la fabricación de lijas</t>
  </si>
  <si>
    <t>Papel semiquímico para acanalar</t>
  </si>
  <si>
    <t>De peso inferior o igual a 150 g/m2</t>
  </si>
  <si>
    <t>De pasta obtenida por procedimiento químicomecánico y peso superior o igual a 225 g/m2</t>
  </si>
  <si>
    <t>Elaborados con 100 % en peso de fibra de algodón o de abacá, sin encolado y exento de compuestos minerales</t>
  </si>
  <si>
    <t>Cartones rígidos con peso específico superior a 1</t>
  </si>
  <si>
    <t>Papel y cartón sulfurizados (pergamino vegetal)</t>
  </si>
  <si>
    <t>Papel resistente a las grasas (greaseproof)</t>
  </si>
  <si>
    <t>Papel cristal y demás papeles calandrados transparentes o traslúcidos</t>
  </si>
  <si>
    <t>Papel y cartón corrugados, incluso perforados</t>
  </si>
  <si>
    <t>Papel kraft rizado (crepé) o plisado, incluso gofrado, estampado o perforado</t>
  </si>
  <si>
    <t>De peso inferior o igual a 60 g/m2</t>
  </si>
  <si>
    <t>Papel estucado o cuché ligero (liviano) (l.w.c.)</t>
  </si>
  <si>
    <t>Multicapas</t>
  </si>
  <si>
    <t>En bobinas (rollos), de anchura superior a 15 cm o en hojas en las que un lado sea superior a 36 cm y el otro sea superior a 15 cm, sin plegar</t>
  </si>
  <si>
    <t>En tiras o bobinas (rollos) de anchura superior a 15 cm; o en hojas cuadradas o rectangulares con un lado superior a 36 cm y el otro superior a 15 cm, sin plegar</t>
  </si>
  <si>
    <t>Recubierto o revestido por ambas caras, de plástico, de los tipos utilizados en la industria alimentaria, incluso impresos</t>
  </si>
  <si>
    <t>Con lámina intermedia de aluminio, de los tipos utilizados para envasar productos en la industria alimentaria, incluso impresos</t>
  </si>
  <si>
    <t>Papeles filtro</t>
  </si>
  <si>
    <t>Barnizados, con peso específico superior a 1, incluso gofrados</t>
  </si>
  <si>
    <t>Bloques y placas, filtrantes, de pasta de papel.</t>
  </si>
  <si>
    <t>Papel para decorar y revestimientos similares de paredes, constituidos por papel recubierto o revestido, en la cara vista, con una capa de plástico graneada, gofrada, coloreada, impresa con motivos o decorada de otro modo</t>
  </si>
  <si>
    <t>Papel para decorar y revestimientos similares de paredes, constituidos por papel revestido en la cara vista con materia trenzable, incluso tejida en forma plana o paralelizada</t>
  </si>
  <si>
    <t>Papel autocopia</t>
  </si>
  <si>
    <t>Sobres</t>
  </si>
  <si>
    <t>Sobres carta, tarjetas postales sin ilustrar y tarjetas para correspondencia</t>
  </si>
  <si>
    <t>Cajas, bolsas y presentaciones similares de papel o cartón, con un surtido de artículos de correspondencia</t>
  </si>
  <si>
    <t>Papel higiénico</t>
  </si>
  <si>
    <t>Pañuelos, toallitas de desmaquillar y toallas</t>
  </si>
  <si>
    <t>Manteles y servilletas</t>
  </si>
  <si>
    <t>Prendas y complementos (accesorios), de vestir</t>
  </si>
  <si>
    <t>Cajas de papel o cartón corrugado</t>
  </si>
  <si>
    <t>Cajas y cartonajes, plegables, de papel o cartón, sin corrugar</t>
  </si>
  <si>
    <t>Multipliegos</t>
  </si>
  <si>
    <t>Los demás sacos (bolsas); bolsitas y cucuruchos</t>
  </si>
  <si>
    <t>Los demás envases, incluidas las fundas para discos</t>
  </si>
  <si>
    <t>Cartonajes de oficina, tienda o similares</t>
  </si>
  <si>
    <t>Impresas</t>
  </si>
  <si>
    <t>De los tipos utilizados para el bobinado de hilados textiles</t>
  </si>
  <si>
    <t>Artículos moldeados o prensados, de pasta de papel</t>
  </si>
  <si>
    <t>Juntas o empaquetaduras</t>
  </si>
  <si>
    <t>Patrones, modelos y plantillas</t>
  </si>
  <si>
    <t>Papel y cartón kraft, de gramaje superior a 150 g/m2 pero inferior a 225 g/m2, crudos, absorbentes, del tipo de los utilizados para la fabricación de laminados plásticos decorativos, en tiras o bobinas de anchura superior a 15 cm pero inferior o igual a 36 cm</t>
  </si>
  <si>
    <t>Papel y cartón sin estucar ni recubrir, de gramaje inferior o igual a 150 g/m2, del tipo de los utilizados para la fabricación de laminados plásticos decorativos, en tiras o bobinas de anchura superior a 15 cm pero inferior o igual a 36 cm</t>
  </si>
  <si>
    <t>Cubresuelos con soporte de papel o cartón, incluso recortados</t>
  </si>
  <si>
    <t>Con relleno</t>
  </si>
  <si>
    <t>Muebles de madera de los tipos utilizados en oficinas</t>
  </si>
  <si>
    <t>Muebles de madera de los tipos utilizados en cocinas</t>
  </si>
  <si>
    <t>Muebles de madera de los tipos utilizados en dormitorios</t>
  </si>
  <si>
    <t>Los demás muebles de madera</t>
  </si>
  <si>
    <t>Valor CIF ($)</t>
  </si>
  <si>
    <t>Pellets de madera</t>
  </si>
  <si>
    <t>De bambú</t>
  </si>
  <si>
    <t>Figura 24</t>
  </si>
  <si>
    <t>Traviesas (durmientes) de madera para vías férreas o similares</t>
  </si>
  <si>
    <t>Distintas de la de coníferas</t>
  </si>
  <si>
    <t>Madera aserrada o desbastada longitudinalmente, cortada o desenrollada</t>
  </si>
  <si>
    <t>De espesor superior a 5 mm pero inferior o igual a 9 mm</t>
  </si>
  <si>
    <t>De densidad inferior o igual a 0,5 g/cm³</t>
  </si>
  <si>
    <t>Madera densificada en bloques, tablas, tiras o perfiles</t>
  </si>
  <si>
    <t>Barriles, cubas, tinas y demás manufacturas de tonelería y sus partes, de madera, incluidas las duelas.</t>
  </si>
  <si>
    <t>De bambú o que tengan al menos la capa superior de bambú</t>
  </si>
  <si>
    <t>Los demás, multicapas</t>
  </si>
  <si>
    <t>Palillos</t>
  </si>
  <si>
    <t>Madera preparada para fósforos</t>
  </si>
  <si>
    <t>Pasta de madera o de las demás materias fibrosas celulósicas;papel o cartón</t>
  </si>
  <si>
    <t>Pasta mecánica de madera</t>
  </si>
  <si>
    <t>Pasta mecánica de madera.</t>
  </si>
  <si>
    <t>Pasta química de madera al sulfito, excepto la pasta para disolver</t>
  </si>
  <si>
    <t>Pasta de fibras obtenidas de papel o cartón reciclado (desperdicios y desechos) o de las demás materias fibrosas celulósicas.</t>
  </si>
  <si>
    <t>Pasta de fibras obtenidas de papel o cartón reciclado (desperdicios y desechos)</t>
  </si>
  <si>
    <t>Mecánicas</t>
  </si>
  <si>
    <t>Papel o cartón para reciclar (desperdicios y desechos)</t>
  </si>
  <si>
    <t>Papel o cartón kraft crudo o papel o cartón corrugado</t>
  </si>
  <si>
    <t>Los demás, incluidos los desperdicios y desechos sin clasificar</t>
  </si>
  <si>
    <t>Papel de fibras obtenidas por procedimiento químicomecánico inferior o igual al 10% en peso del contenido total de fibras, de peso superior o igual a 225 g/m2, en tiras de anchura superior a 15 cm, o en hojas cuadradas o rectangulares con un lado superior a 36 cm y el otro superior a 15 cm, sin plegar</t>
  </si>
  <si>
    <t>Con un contenido total de fibras obtenidas por procedimiento mecánico superior al 10%, de anchura superior a 15 cm, excepto el papel de seguridad</t>
  </si>
  <si>
    <t>Guata de celulosa y napa de fibras de celulosa</t>
  </si>
  <si>
    <t>Absorbentes, de los tipos utilizados para la fabricación de laminados plásticos decorativos</t>
  </si>
  <si>
    <t>Blanqueados uniformemente en la masa y con un contenido de fibras de madera obtenidas por procedimiento químico superior al 95 % en peso del contenido total de fibra</t>
  </si>
  <si>
    <t>Papel sulfito para envolver</t>
  </si>
  <si>
    <t>Papel y cartón fieltro, papel y cartón lana</t>
  </si>
  <si>
    <t>Para aislamiento eléctrico</t>
  </si>
  <si>
    <t>Papel y cartón, multicapas (excepto los de las subpartidas 4805.12.00, 4805.19.00, 4805.24.00 o 4805.25.00)</t>
  </si>
  <si>
    <t>Para juntas o empaquetaduras</t>
  </si>
  <si>
    <t>Papel vegetal (papel calco)</t>
  </si>
  <si>
    <t>Papel y cartón obtenidos por pegado de hojas planas, sin estucar ni recubrir en la superficie y sin impregnar, incluso reforzados interiormente, en bobinas (rollos) o en hojas.</t>
  </si>
  <si>
    <t>De peso superior a 150 g/m2</t>
  </si>
  <si>
    <t>En las que un lado sea superior a 360 mm y el otro sea superior a 150 mm, sin plegar</t>
  </si>
  <si>
    <t>Blanqueados uniformemente en la masa y con un contenido de fibras de madera obtenidas por procedimiento químico superior al 95 % en peso del contenido total de fibra, de peso inferior o igual a 150 g/m²</t>
  </si>
  <si>
    <t>Blanqueados uniformemente en la masa y con un contenido de fibras de madera obtenidas por procedimiento químico superior al 95 % en peso del contenido total de fibra, de peso superior a 150 g/m²</t>
  </si>
  <si>
    <t>Papel impregnado con resinas melamínicas, incluso decorado o impreso</t>
  </si>
  <si>
    <t>Pautados, rayados o cuadriculados</t>
  </si>
  <si>
    <t>En librillos o en tubos</t>
  </si>
  <si>
    <t>Sin estucar ni recubrir, en tiras o bobinas (rollos) de anchura superior a 15 cm pero inferior o igual a 36 cm</t>
  </si>
  <si>
    <t>Papel diagrama para aparatos registradores, en bobinas (rollos), hojas o discos</t>
  </si>
  <si>
    <t>Papeles para aislamiento eléctrico</t>
  </si>
  <si>
    <t>Cartones para mecanismos jacquard y similares</t>
  </si>
  <si>
    <t>Papel y cartón sin estucar ni recubrir, del tipo de los utilizados para juntas o empaquetaduras, en tiras o bobinas de anchura superior a 15 cm pero inferior o igual a 36 cm</t>
  </si>
  <si>
    <t>De madera</t>
  </si>
  <si>
    <t xml:space="preserve">Las demás plantas vivas (incluidas sus raíces), esquejes </t>
  </si>
  <si>
    <t>Orquídeas</t>
  </si>
  <si>
    <t>Con cáscara</t>
  </si>
  <si>
    <t>Sin cáscara</t>
  </si>
  <si>
    <t>Figura 25</t>
  </si>
  <si>
    <t>Frutas y otros frutos, sin cocer o cocidos en agua o vapor</t>
  </si>
  <si>
    <t>Semillas, frutos y esporas, para siembra</t>
  </si>
  <si>
    <t>Semillas de árboles frutales o forestales</t>
  </si>
  <si>
    <t xml:space="preserve">Plantas, semillas y frutos de las especies utilizadas en perfumería, medicina </t>
  </si>
  <si>
    <t>Hojas de coca</t>
  </si>
  <si>
    <t>Algarrobas, algas, remolacha azucarera y caña de azúcar</t>
  </si>
  <si>
    <t>Algarrobas</t>
  </si>
  <si>
    <t>Gomas, resinas y demás jugos y extractos vegetales</t>
  </si>
  <si>
    <t>Goma tragacanto</t>
  </si>
  <si>
    <t>Goma laca</t>
  </si>
  <si>
    <t>Mucílagos y espesativos de la algarroba o de su semilla o de las semillas de guar, incluso modificados</t>
  </si>
  <si>
    <t xml:space="preserve">Materias vegetales de las especies utilizadas principalmente en cestería o espartería </t>
  </si>
  <si>
    <t>Bambú</t>
  </si>
  <si>
    <t>Preparaciones de hortalizas, frutas u otros frutos o demás partes de plantas</t>
  </si>
  <si>
    <t>Palmitos</t>
  </si>
  <si>
    <t>Extractos curtientes o tintóreos; taninos y sus derivados</t>
  </si>
  <si>
    <t>Extracto de quebracho</t>
  </si>
  <si>
    <t>De cochinilla</t>
  </si>
  <si>
    <t>Aceites esenciales y resinoides</t>
  </si>
  <si>
    <t>De eucalipto</t>
  </si>
  <si>
    <t>Caucho y sus manufacturas</t>
  </si>
  <si>
    <t>Látex de caucho natural, incluso prevulcanizado</t>
  </si>
  <si>
    <t>Hojas ahumadas</t>
  </si>
  <si>
    <t>Cauchos técnicamente especificados (tsnr)</t>
  </si>
  <si>
    <t>Manufacturas de espartería o cestería</t>
  </si>
  <si>
    <t>De las demás materias vegetales</t>
  </si>
  <si>
    <t>Bandejas, fuentes, platos, tazas, vasos y artículos similares</t>
  </si>
  <si>
    <t>Asientos y muebles</t>
  </si>
  <si>
    <t>Orquídeas, incluidos sus esquejes enraizados</t>
  </si>
  <si>
    <t>Semillas de plantas herbáceas utilizadas principalmente por sus flores</t>
  </si>
  <si>
    <t>Figura 26</t>
  </si>
  <si>
    <t>Goma arábiga</t>
  </si>
  <si>
    <t>Materias pécticas, pectinatos y pectatos</t>
  </si>
  <si>
    <t>Agaragar</t>
  </si>
  <si>
    <t>Materias trenzables y demás productos de origen vegetal</t>
  </si>
  <si>
    <t>Roten (ratán)*</t>
  </si>
  <si>
    <t>Brotes de bambú</t>
  </si>
  <si>
    <t>Extracto de mimosa (acacia)</t>
  </si>
  <si>
    <t>Tanino de quebracho</t>
  </si>
  <si>
    <t>Extractos de roble o de castaño</t>
  </si>
  <si>
    <t>De campeche</t>
  </si>
  <si>
    <t>De roten (ratán)*</t>
  </si>
  <si>
    <t>Figura 27</t>
  </si>
  <si>
    <t>Operación comercial</t>
  </si>
  <si>
    <t>US$</t>
  </si>
  <si>
    <t>1. EXPORTACIONES</t>
  </si>
  <si>
    <t>Productos maderables</t>
  </si>
  <si>
    <t>2. IMPORTACIONES</t>
  </si>
  <si>
    <t>3. BALANZA  COMERCIAL</t>
  </si>
  <si>
    <t>Fuente: Superintendencia Nacional de Administración Tributarias – SUNAT</t>
  </si>
  <si>
    <t>País de destino</t>
  </si>
  <si>
    <t>México</t>
  </si>
  <si>
    <t>China</t>
  </si>
  <si>
    <t>Estados Unidos</t>
  </si>
  <si>
    <t>País</t>
  </si>
  <si>
    <t>Haití</t>
  </si>
  <si>
    <t>Fuente: Dirección de Gestión Sostenible del Patrimonio Forestal (DGSPF – DGGSPFFS).</t>
  </si>
  <si>
    <t>Figura 28</t>
  </si>
  <si>
    <t>Francia</t>
  </si>
  <si>
    <t>Alemania</t>
  </si>
  <si>
    <t>Guatemala</t>
  </si>
  <si>
    <t>Kazajistán</t>
  </si>
  <si>
    <t>Japón</t>
  </si>
  <si>
    <t>Reino Unido</t>
  </si>
  <si>
    <t>Singapur</t>
  </si>
  <si>
    <t>Taiwán</t>
  </si>
  <si>
    <t>Cantidad (unidad)</t>
  </si>
  <si>
    <t>Cattleya rex</t>
  </si>
  <si>
    <t>Masdevallia híbrida</t>
  </si>
  <si>
    <t>Cattleya híbrida</t>
  </si>
  <si>
    <t>Phragmipedium kovachii</t>
  </si>
  <si>
    <t>Trichocentrum tigrinum</t>
  </si>
  <si>
    <t>Cattleya maxima</t>
  </si>
  <si>
    <t>Trichocentrum albococcineum</t>
  </si>
  <si>
    <t>Cattleya luteola</t>
  </si>
  <si>
    <t>Masdevallia decumana</t>
  </si>
  <si>
    <t>Otras</t>
  </si>
  <si>
    <t>Kg</t>
  </si>
  <si>
    <t>Litros</t>
  </si>
  <si>
    <t>Tipo de permiso CITES</t>
  </si>
  <si>
    <t>Exportación</t>
  </si>
  <si>
    <t>Fuente: Dirección de Gestión Sostenible del Patrimonio de Fauna Silvestre (DSPFS - DGGSPFFS)</t>
  </si>
  <si>
    <t>Italia</t>
  </si>
  <si>
    <t>Hilo</t>
  </si>
  <si>
    <t>Prendas</t>
  </si>
  <si>
    <t>Chile</t>
  </si>
  <si>
    <t>Tela</t>
  </si>
  <si>
    <t>Autorizaciones de centros de propagación de especies ornamentales de flora silvestre (2023)</t>
  </si>
  <si>
    <t>Moquegua, Tacna</t>
  </si>
  <si>
    <t>N° departamentos donde se realiza la investigación</t>
  </si>
  <si>
    <t>Figura 7</t>
  </si>
  <si>
    <t>Espécimen vivo (u)</t>
  </si>
  <si>
    <t>Figura 8</t>
  </si>
  <si>
    <t>Figura 10</t>
  </si>
  <si>
    <t>N° infractores registrados</t>
  </si>
  <si>
    <t>Cupressus macrocarpa</t>
  </si>
  <si>
    <t>Senefeldera macrophylla Ducke</t>
  </si>
  <si>
    <t>Amburana cearensis (Allemão) A.C. Sm.</t>
  </si>
  <si>
    <t>Tabebuia incana A.H. Gentry</t>
  </si>
  <si>
    <t>Sp.</t>
  </si>
  <si>
    <t>Figura 14</t>
  </si>
  <si>
    <t>Figura 13</t>
  </si>
  <si>
    <t>Figura 17</t>
  </si>
  <si>
    <t>Volumen (m3)</t>
  </si>
  <si>
    <t>Figura 16</t>
  </si>
  <si>
    <t>departamento</t>
  </si>
  <si>
    <t>Nasturtium officinale R.Br.</t>
  </si>
  <si>
    <t>Gentianella alborosea (Gilg) Fabris</t>
  </si>
  <si>
    <t>Figura 18</t>
  </si>
  <si>
    <t>Puerto Rico</t>
  </si>
  <si>
    <t>Jamaica</t>
  </si>
  <si>
    <t>Macroclinium aurorae</t>
  </si>
  <si>
    <t>Unidad</t>
  </si>
  <si>
    <t>Plantas vivas</t>
  </si>
  <si>
    <t>Kazajstán</t>
  </si>
  <si>
    <t>Tailandia</t>
  </si>
  <si>
    <t>Suma de Cantidad</t>
  </si>
  <si>
    <t>Figura 22</t>
  </si>
  <si>
    <t>N° permisos CITES</t>
  </si>
  <si>
    <t>m</t>
  </si>
  <si>
    <t>Rusia</t>
  </si>
  <si>
    <t>Durmientes de madera para vias ferreas o similares</t>
  </si>
  <si>
    <t>En tiras o bobinas (rollos) de anchura superior a 15 cm, o en hojas cuadradas o rectangulares con un lado superior a 36 cm y el otro superior a 15 cm, sin plegar, excepto los de pasta obtenido por procedimiento químicomecánico</t>
  </si>
  <si>
    <t>Tablillas para fabricación de lápices</t>
  </si>
  <si>
    <t>Obtenidas por la combinación de procedimientos mecánico y químico</t>
  </si>
  <si>
    <t>Con un contenido total de fibras obtenidas por procedimiento mecánico superior a 10%, en hojas cuadradas o rectangulares con un lado superior a 435 mm y el otro superior a 297 mm, sin plegar, excepto el papel de seguridad</t>
  </si>
  <si>
    <t>En bobinas (rollos) de anchura inferior o igual a 5 cm</t>
  </si>
  <si>
    <t xml:space="preserve">Cocos, nueces del Brasil y nueces de marañón </t>
  </si>
  <si>
    <t>5.5. Permisos para la importación y exportación de especies incluidas en los Apéndices de la CITES</t>
  </si>
  <si>
    <t>5.4. Comercio exterior de fauna silvestre</t>
  </si>
  <si>
    <t>Animales vivos</t>
  </si>
  <si>
    <t>Primates</t>
  </si>
  <si>
    <t>Reptiles (incluidas las serpientes y tortugas de mar)</t>
  </si>
  <si>
    <t>Los demás productos de origen animal no expresados ni comprendidos en otra parte</t>
  </si>
  <si>
    <t>Cochinilla (dactylopius coccus)</t>
  </si>
  <si>
    <t>Cueros y pieles depilados de los demás animales y pieles de animales sin pelo</t>
  </si>
  <si>
    <t>En estado seco (crust)</t>
  </si>
  <si>
    <t>Lana y pelo fino u ordinario; hilados y tejidos de crin</t>
  </si>
  <si>
    <t>De vicuña</t>
  </si>
  <si>
    <t>Ancash</t>
  </si>
  <si>
    <t>San Martin</t>
  </si>
  <si>
    <t>Huanuco</t>
  </si>
  <si>
    <t>Junin</t>
  </si>
  <si>
    <t>Apurimac</t>
  </si>
  <si>
    <t xml:space="preserve">N° autorizaciones de transferencias </t>
  </si>
  <si>
    <t>ARMAQ S. A.</t>
  </si>
  <si>
    <t>ARMAS Y MUNICIONES DEL NORTE SAC - ARMUNORT SAC</t>
  </si>
  <si>
    <t>EL SINCHI EMPRESA INDIVIDUAL DE RESPONSABILIDAD LIMITADA</t>
  </si>
  <si>
    <t>ESCUELA DE CAZA DEPORTIVA E.I.R.L.</t>
  </si>
  <si>
    <t>ESCUELA NACIONAL DE FORMACIÓN Y CAPACITACIÓN DE SERENOS, AGENTES DE SEGURIDAD Y RESGUARDO - ENFORSA</t>
  </si>
  <si>
    <t>ESTECON S.R.L</t>
  </si>
  <si>
    <t>LIMA GUNS S. A.</t>
  </si>
  <si>
    <t>Tabla1-4 TH'!B37</t>
  </si>
  <si>
    <t>familia</t>
  </si>
  <si>
    <t>total</t>
  </si>
  <si>
    <t>Madre De Dios</t>
  </si>
  <si>
    <t>PFDM</t>
  </si>
  <si>
    <t>Tabla 1. Concesiones forestales otorgadas en el año 2024</t>
  </si>
  <si>
    <t>Tabla 2. Concesiones forestales vigentes al 2024</t>
  </si>
  <si>
    <t>Cesión en Uso (CUSAF)</t>
  </si>
  <si>
    <t xml:space="preserve"> Total</t>
  </si>
  <si>
    <t>Tabla 3. Bosque Local, Cesión en uso para sistemas agroforestales (CUSAF), Permisos y Autorizaciones forestales y de fauna silvestre, otorgados en el año 2024</t>
  </si>
  <si>
    <t>ANUARIO FORESTAL Y DE FAUNA SILVESTRE 2024</t>
  </si>
  <si>
    <t xml:space="preserve">Zoológico </t>
  </si>
  <si>
    <t>Tabla 4. Autorizaciones de funcionamiento de centros de cría en cautividad otorgadas en el año 2024</t>
  </si>
  <si>
    <t>Cetrería</t>
  </si>
  <si>
    <t>Captura comercial</t>
  </si>
  <si>
    <t>Tabla 5. Licencias de caza deportiva, cetrería y captura comercial, otorgadas en el año 2024</t>
  </si>
  <si>
    <t>Licencias de caza deportiva, cetrería y captura comercial (2024)</t>
  </si>
  <si>
    <t>ASOCIACIÓN NACIONAL DE CAZA Y TIRO DEPORTIVO GAUGES</t>
  </si>
  <si>
    <t>Tabla 6. Número de cursos de “Educación, seguridad y ética en la caza deportiva” dictados y número de participantes aprobados, por empresa (2024)</t>
  </si>
  <si>
    <t>Tabla 7. Autorizaciones de caza deportiva y de captura comercial, otorgadas en el año 2024</t>
  </si>
  <si>
    <r>
      <rPr>
        <i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en el 2024 no se han otorgado autorizaciones de cetrería</t>
    </r>
  </si>
  <si>
    <t>Tabla 8. Especímenes otorgados mediante autorizaciones de caza deportiva en el año 2024</t>
  </si>
  <si>
    <t>Moquegua/ Tacna</t>
  </si>
  <si>
    <r>
      <t>Paloma cuculí (</t>
    </r>
    <r>
      <rPr>
        <i/>
        <sz val="9"/>
        <color theme="1"/>
        <rFont val="Arial"/>
        <family val="2"/>
      </rPr>
      <t>Zenaida meloda</t>
    </r>
    <r>
      <rPr>
        <sz val="9"/>
        <color theme="1"/>
        <rFont val="Arial"/>
        <family val="2"/>
      </rPr>
      <t>)</t>
    </r>
  </si>
  <si>
    <r>
      <t>Liebre europea (</t>
    </r>
    <r>
      <rPr>
        <i/>
        <sz val="9"/>
        <color theme="1"/>
        <rFont val="Arial"/>
        <family val="2"/>
      </rPr>
      <t>Lepus europaeus</t>
    </r>
    <r>
      <rPr>
        <sz val="9"/>
        <color theme="1"/>
        <rFont val="Arial"/>
        <family val="2"/>
      </rPr>
      <t>)</t>
    </r>
  </si>
  <si>
    <r>
      <t>Tórtola orejuda (</t>
    </r>
    <r>
      <rPr>
        <i/>
        <sz val="9"/>
        <color theme="1"/>
        <rFont val="Arial"/>
        <family val="2"/>
      </rPr>
      <t>Zenaida auriculata</t>
    </r>
    <r>
      <rPr>
        <sz val="9"/>
        <color theme="1"/>
        <rFont val="Arial"/>
        <family val="2"/>
      </rPr>
      <t>)</t>
    </r>
  </si>
  <si>
    <r>
      <t>Perdiz serrana (</t>
    </r>
    <r>
      <rPr>
        <i/>
        <sz val="9"/>
        <color theme="1"/>
        <rFont val="Arial"/>
        <family val="2"/>
      </rPr>
      <t>Nothoprocta pentlandii</t>
    </r>
    <r>
      <rPr>
        <sz val="9"/>
        <color theme="1"/>
        <rFont val="Arial"/>
        <family val="2"/>
      </rPr>
      <t>)</t>
    </r>
  </si>
  <si>
    <r>
      <t>Pato acanelado (</t>
    </r>
    <r>
      <rPr>
        <i/>
        <sz val="9"/>
        <color theme="1"/>
        <rFont val="Arial"/>
        <family val="2"/>
      </rPr>
      <t>Spatula cyanoptera</t>
    </r>
    <r>
      <rPr>
        <sz val="9"/>
        <color theme="1"/>
        <rFont val="Arial"/>
        <family val="2"/>
      </rPr>
      <t>)</t>
    </r>
  </si>
  <si>
    <r>
      <t>Paloma de castilla (</t>
    </r>
    <r>
      <rPr>
        <i/>
        <sz val="9"/>
        <color theme="1"/>
        <rFont val="Arial"/>
        <family val="2"/>
      </rPr>
      <t>Columba livia)</t>
    </r>
  </si>
  <si>
    <r>
      <t>Vizcacha (</t>
    </r>
    <r>
      <rPr>
        <i/>
        <sz val="9"/>
        <color theme="1"/>
        <rFont val="Arial"/>
        <family val="2"/>
      </rPr>
      <t>Lagidium peruanum</t>
    </r>
    <r>
      <rPr>
        <sz val="9"/>
        <color theme="1"/>
        <rFont val="Arial"/>
        <family val="2"/>
      </rPr>
      <t>)</t>
    </r>
  </si>
  <si>
    <r>
      <t>Paloma ceniza (</t>
    </r>
    <r>
      <rPr>
        <i/>
        <sz val="9"/>
        <color theme="1"/>
        <rFont val="Arial"/>
        <family val="2"/>
      </rPr>
      <t>Patagioenas maculosa</t>
    </r>
    <r>
      <rPr>
        <sz val="9"/>
        <color theme="1"/>
        <rFont val="Arial"/>
        <family val="2"/>
      </rPr>
      <t>)</t>
    </r>
  </si>
  <si>
    <r>
      <t>Pato sutro (</t>
    </r>
    <r>
      <rPr>
        <i/>
        <sz val="9"/>
        <color theme="1"/>
        <rFont val="Arial"/>
        <family val="2"/>
      </rPr>
      <t>Anas flavirostris</t>
    </r>
    <r>
      <rPr>
        <sz val="9"/>
        <color theme="1"/>
        <rFont val="Arial"/>
        <family val="2"/>
      </rPr>
      <t>)</t>
    </r>
  </si>
  <si>
    <r>
      <t>Venado cola blanca (</t>
    </r>
    <r>
      <rPr>
        <i/>
        <sz val="9"/>
        <color theme="1"/>
        <rFont val="Arial"/>
        <family val="2"/>
      </rPr>
      <t>Odocoileus peruvianus</t>
    </r>
    <r>
      <rPr>
        <sz val="9"/>
        <color theme="1"/>
        <rFont val="Arial"/>
        <family val="2"/>
      </rPr>
      <t>)</t>
    </r>
  </si>
  <si>
    <r>
      <t>Huallata (</t>
    </r>
    <r>
      <rPr>
        <i/>
        <sz val="9"/>
        <color theme="1"/>
        <rFont val="Arial"/>
        <family val="2"/>
      </rPr>
      <t>Oressochen melanopterus)</t>
    </r>
  </si>
  <si>
    <t>Pato gargantillo (Anas bahamensis)</t>
  </si>
  <si>
    <r>
      <t>Pato puna (</t>
    </r>
    <r>
      <rPr>
        <i/>
        <sz val="9"/>
        <color theme="1"/>
        <rFont val="Arial"/>
        <family val="2"/>
      </rPr>
      <t>Spatula puna</t>
    </r>
    <r>
      <rPr>
        <sz val="9"/>
        <color theme="1"/>
        <rFont val="Arial"/>
        <family val="2"/>
      </rPr>
      <t>)</t>
    </r>
  </si>
  <si>
    <r>
      <t>Perdiz cordillerana (</t>
    </r>
    <r>
      <rPr>
        <i/>
        <sz val="9"/>
        <color theme="1"/>
        <rFont val="Arial"/>
        <family val="2"/>
      </rPr>
      <t>Nothoprocta ornata</t>
    </r>
    <r>
      <rPr>
        <sz val="9"/>
        <color theme="1"/>
        <rFont val="Arial"/>
        <family val="2"/>
      </rPr>
      <t>)</t>
    </r>
  </si>
  <si>
    <t>Noctuidae (mariposa nocturna)</t>
  </si>
  <si>
    <t>Theraphosidae (tarántula)</t>
  </si>
  <si>
    <t>Acrididae (saltamontes)</t>
  </si>
  <si>
    <t>Lucanidae (escarabajo)</t>
  </si>
  <si>
    <t>Chrysomelidae (escarabajo)</t>
  </si>
  <si>
    <t>Castniidae (mariposa nocturna)</t>
  </si>
  <si>
    <t>Formicidae (hormiga)</t>
  </si>
  <si>
    <t>Mantidae (mantis)</t>
  </si>
  <si>
    <t>Tabla 9. Principales familias otorgadas mediante autorizaciones de captura comercial en el año 2024</t>
  </si>
  <si>
    <t>Principales familias otorgadas mediante autorizaciones de captura comercial (2024)</t>
  </si>
  <si>
    <t>Tabla 10. Autorizaciones de investigación científica relacionadas a flora y fauna silvestre, otorgadas por las ARFFS en el año 2024</t>
  </si>
  <si>
    <t>Autorizaciones de investigación científica otorgadas por las ARFFS (2024)</t>
  </si>
  <si>
    <t>Animalia y otro diferentes de Plantae</t>
  </si>
  <si>
    <t>Animalia y Plantae</t>
  </si>
  <si>
    <t>Animalia, Fungi y Plantae</t>
  </si>
  <si>
    <t>Bacteria</t>
  </si>
  <si>
    <t>Plantae y otro diferente de Animalia</t>
  </si>
  <si>
    <t>Plantae, Fungi y Protista</t>
  </si>
  <si>
    <t>Tabla 11. Autorizaciones de investigación científica relacionadas a flora y fauna silvestre, otorgadas por las DGGSPFFS en el año 2024</t>
  </si>
  <si>
    <t>Autorizaciones de investigación científica otorgadas por las DGGSPFFS, por número de departamentos donde se realiza la investigación (2024)</t>
  </si>
  <si>
    <t>Autorizaciones de investigación científica otorgadas por las DGGSPFFS, por tipo de recurso (2024)</t>
  </si>
  <si>
    <t>1.2.4. Autorizaciones para el establecimiento de centros de transformación primaria</t>
  </si>
  <si>
    <t>Tabla 12. Centros de transformación primaria de productos forestales y de fauna silvestre, autorizados en el año 2024</t>
  </si>
  <si>
    <t>Callao</t>
  </si>
  <si>
    <t>Autorizaciones de centros de transformación primaria de productos forestales o de fauna silvestre (2024)</t>
  </si>
  <si>
    <t>1.2.5. Autorizaciones para el establecimiento de lugares de acopio, depósitos y centros de comercialización</t>
  </si>
  <si>
    <t>Autorizaciones de lugares de acopio, depósitos y centros de comercialización de productos forestales o de fauna silvestre en estado natural o con transformación primaria (2024)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</si>
  <si>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</si>
  <si>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</si>
  <si>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</si>
  <si>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</si>
  <si>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</si>
  <si>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</si>
  <si>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</si>
  <si>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</si>
  <si>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</si>
  <si>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</si>
  <si>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</si>
  <si>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</si>
  <si>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</si>
  <si>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</si>
  <si>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</si>
  <si>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</si>
  <si>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</si>
  <si>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</si>
  <si>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</si>
  <si>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</si>
  <si>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SAN MARTIN</t>
  </si>
  <si>
    <t>TACNA</t>
  </si>
  <si>
    <t>UCAYALI</t>
  </si>
  <si>
    <t>Tabla 13. Lugares de acopio, depósitos y centros de comercialización de productos forestales o de fauna silvestre en estado natural o con transformación primaria, autorizados en el año 2024</t>
  </si>
  <si>
    <t>Fauna silvestre</t>
  </si>
  <si>
    <t>Forestal</t>
  </si>
  <si>
    <t>1.2.6. Autorizaciones de transferencia de productos forestales</t>
  </si>
  <si>
    <t>Tabla 14. Autorizaciones de transferencia de productos forestales aprobadas en el año 2024</t>
  </si>
  <si>
    <t>Carbón vegetal (m3)</t>
  </si>
  <si>
    <t>Leña (carga)</t>
  </si>
  <si>
    <t>Craneo</t>
  </si>
  <si>
    <t>Tabla 15. Productos forestales maderables transferidos en el año 2024</t>
  </si>
  <si>
    <t>Tabla 16. Productos y subproductos de fauna silvestre transferidos en el año 2024</t>
  </si>
  <si>
    <t>Tabla 17. Intervenciones en materia de fauna silvestre realizadas en el año 2024</t>
  </si>
  <si>
    <t>No precisa*</t>
  </si>
  <si>
    <t>Intervenciones en materia de fauna silvestre (2024)</t>
  </si>
  <si>
    <t>Tabla 18. Especímenes de fauna silvestre registrados en las intervenciones (en unidades), según estado, descripción y clase taxonómica o Phylum (4)</t>
  </si>
  <si>
    <t>Productos / artesanías /manufacturas/ otros</t>
  </si>
  <si>
    <t>Exudado de rana</t>
  </si>
  <si>
    <t>Sin definir</t>
  </si>
  <si>
    <t>Tabla 19. Cantidad de carne registrada en las intervenciones, por especie (2024)</t>
  </si>
  <si>
    <t>Huevos (kg)</t>
  </si>
  <si>
    <r>
      <t>Tapirus terrestris</t>
    </r>
    <r>
      <rPr>
        <sz val="9"/>
        <color theme="1"/>
        <rFont val="Arial"/>
        <family val="2"/>
      </rPr>
      <t xml:space="preserve"> </t>
    </r>
  </si>
  <si>
    <t>Dasypus novemcinctus / pastasae</t>
  </si>
  <si>
    <t>Lagothrix lagothricha</t>
  </si>
  <si>
    <t>Mono choro común</t>
  </si>
  <si>
    <t>Total fauna reportada en kilos</t>
  </si>
  <si>
    <t>No precisa**</t>
  </si>
  <si>
    <t>Insecta</t>
  </si>
  <si>
    <t>Insectos</t>
  </si>
  <si>
    <t>Phyllomedusa sp.</t>
  </si>
  <si>
    <t>Rana arbórea</t>
  </si>
  <si>
    <t>Microlophus peruvianus</t>
  </si>
  <si>
    <t>Lagartija peruana</t>
  </si>
  <si>
    <t>Phyllomedusa bicolor</t>
  </si>
  <si>
    <t>Rana arbórea bicolor</t>
  </si>
  <si>
    <t>Nymphalidae</t>
  </si>
  <si>
    <t>Aratinga weddellii</t>
  </si>
  <si>
    <t>Cotorra de cabeza oscura</t>
  </si>
  <si>
    <t>Phrynops geoffroanus</t>
  </si>
  <si>
    <t>Teparo</t>
  </si>
  <si>
    <t>Riodinidae</t>
  </si>
  <si>
    <t>Papilionidae</t>
  </si>
  <si>
    <t>Didelphis marsupialis</t>
  </si>
  <si>
    <t>Zarigüeya</t>
  </si>
  <si>
    <t>Cebus apella</t>
  </si>
  <si>
    <t>Machín negro</t>
  </si>
  <si>
    <t>Melanosuchus niger</t>
  </si>
  <si>
    <t>Caimán negro</t>
  </si>
  <si>
    <t>Iguana iguana</t>
  </si>
  <si>
    <t>Iguana</t>
  </si>
  <si>
    <t>Saimiri sciureus</t>
  </si>
  <si>
    <t>Mono frailecillo</t>
  </si>
  <si>
    <t>Total especimenes en unidades</t>
  </si>
  <si>
    <t>Tabla 20. Principales especies de fauna silvestre registradas en las intervenciones (especímenes reportados en unidades) (2024)</t>
  </si>
  <si>
    <t>Principales especies de fauna silvestre registradas en las intervenciones (2024)</t>
  </si>
  <si>
    <t>1.2.7. Inicio de Procedimientos Administrativos Sancionadores y abandonos/ hallazgos en materia de fauna silvestre</t>
  </si>
  <si>
    <t>Tabla 21. Plantaciones forestales registradas en el año 2024</t>
  </si>
  <si>
    <t>Certificados de inscripción y superficie de plantaciones forestales registradas, por departamento (2024)</t>
  </si>
  <si>
    <t>Tabla 22. Superficie de plantaciones forestales registradas, según el régimen de tenencia (2024)</t>
  </si>
  <si>
    <t>Tabla 23. Superficie de plantaciones forestales registradas, según su finalidad (2024)</t>
  </si>
  <si>
    <t>Productos Forestales Maderables</t>
  </si>
  <si>
    <t>Productos Forestales Maderables Y No Maderables</t>
  </si>
  <si>
    <t>Productos Forestales Maderables Y Plantaciones Forestales</t>
  </si>
  <si>
    <t>Productos Forestales No Maderables</t>
  </si>
  <si>
    <t>Tabla 25. Registro Nacional de Infractores, consolidado al 2024</t>
  </si>
  <si>
    <t xml:space="preserve">San Martin </t>
  </si>
  <si>
    <t>Tabla 26. Centros de propagación de especies ornamentales de flora silvestre autorizados en el año 2024</t>
  </si>
  <si>
    <t>DEPARTAMENTO</t>
  </si>
  <si>
    <t>T O T A L</t>
  </si>
  <si>
    <t>TOTAL</t>
  </si>
  <si>
    <t>Figura 12. Producción de madera rolliza por departamento (m3)</t>
  </si>
  <si>
    <t>Tabla 27. Producción de madera rolliza en el año 2024</t>
  </si>
  <si>
    <t>Tabla 28. Producción de madera rolliza por especie (2024)</t>
  </si>
  <si>
    <t>ACHIHUA</t>
  </si>
  <si>
    <t>Jacaranda copaia (Aubl.) D. Don</t>
  </si>
  <si>
    <t>ACHOTILLO</t>
  </si>
  <si>
    <t>Bixa platycarpa Ruiz &amp; Pav. ex G. Don</t>
  </si>
  <si>
    <t>AGUANILLO</t>
  </si>
  <si>
    <t>Otoba glycycarpa (Ducke) W.A.Rodrigues &amp; T.S.Jaram.</t>
  </si>
  <si>
    <t>Otoba parvifolia (Markgr.) A.H. Gentry</t>
  </si>
  <si>
    <t>AGUANO CUMALA</t>
  </si>
  <si>
    <t>Virola albidiflora Ducke</t>
  </si>
  <si>
    <t>AGUANO MASHA</t>
  </si>
  <si>
    <t>Huberodendron swietenioides (Gleason) Ducke</t>
  </si>
  <si>
    <t>Machaerium inundatum (Mart. ex Benth.) Ducke</t>
  </si>
  <si>
    <t>Paramachaerium schunkei Rudd</t>
  </si>
  <si>
    <t>AGUANO PASHACO</t>
  </si>
  <si>
    <t>Macrolobium acaciifolium (Benth.) Benth.</t>
  </si>
  <si>
    <t>ALCANFOR</t>
  </si>
  <si>
    <t>Ocotea aciphylla (Nees &amp; Mart.) Mez</t>
  </si>
  <si>
    <t>Ocotea javitensis (Kunth) Pittier</t>
  </si>
  <si>
    <t>ALCANFOR MOENA</t>
  </si>
  <si>
    <t>Aniba panurensis (Meisn.) Mez</t>
  </si>
  <si>
    <t>ALETON</t>
  </si>
  <si>
    <t>Sloanea guianensis (Aubl.) Benth.</t>
  </si>
  <si>
    <t>ALFARO</t>
  </si>
  <si>
    <t>Calophyllum brasiliense Cambess.</t>
  </si>
  <si>
    <t>ALISO</t>
  </si>
  <si>
    <t>Alnus acuminata Kunth</t>
  </si>
  <si>
    <t>ALMENDRO</t>
  </si>
  <si>
    <t>Caryocar amygdaliforme Ruiz &amp; Pav. ex G. Don</t>
  </si>
  <si>
    <t>Caryocar glabrum (Aubl.) Pers.</t>
  </si>
  <si>
    <t>ANA CASPI</t>
  </si>
  <si>
    <t>Apuleia leiocarpa (Vogel) J.F. Macbr.</t>
  </si>
  <si>
    <t>Apuleia molaris Spruce ex Benth.</t>
  </si>
  <si>
    <t>ANIS MOENA</t>
  </si>
  <si>
    <t>Aniba guianensis Aubl.</t>
  </si>
  <si>
    <t>Aniba hostmanniana (Nees) Mez</t>
  </si>
  <si>
    <t>Aniba muca (Ruiz &amp; Pav.) Mez</t>
  </si>
  <si>
    <t>Endlicheria robusta (A.C. Sm.) Kosterm.</t>
  </si>
  <si>
    <t>Endlicheria rubriflora Mez</t>
  </si>
  <si>
    <t>Nectandra turbacensis (Kunth) Nees</t>
  </si>
  <si>
    <t>ANONILLA</t>
  </si>
  <si>
    <t>Annona papilionella (Diels) H. Rainer</t>
  </si>
  <si>
    <t>AÑUJE MUENA</t>
  </si>
  <si>
    <t>Anaueria brasiliensis Kosterm.</t>
  </si>
  <si>
    <t>AÑUJE RUMO</t>
  </si>
  <si>
    <t>APACHARAMA</t>
  </si>
  <si>
    <t>Hirtella triandra Sw.</t>
  </si>
  <si>
    <t>ASERRIN</t>
  </si>
  <si>
    <t>Prunus amplifolia Pilg.</t>
  </si>
  <si>
    <t>Prunus debilis Koehne</t>
  </si>
  <si>
    <t>AUCATADIJO</t>
  </si>
  <si>
    <t>Croton pachypodus G.L. Webster</t>
  </si>
  <si>
    <t>Croton tessmannii Mansf.</t>
  </si>
  <si>
    <t>AYAHUMA</t>
  </si>
  <si>
    <t>Couroupita guianensis Aubl.</t>
  </si>
  <si>
    <t>AZUCAR HUAYO</t>
  </si>
  <si>
    <t>Hymenaea courbaril L.</t>
  </si>
  <si>
    <t>Hymenaea oblongifolia Huber</t>
  </si>
  <si>
    <t>Hymenaea parvifolia Huber</t>
  </si>
  <si>
    <t>AZUFRE</t>
  </si>
  <si>
    <t>Symphonia globulifera L. f.</t>
  </si>
  <si>
    <t>AZUFRE CASPI</t>
  </si>
  <si>
    <t>BANDERILLA</t>
  </si>
  <si>
    <t>Virola calophylla (Spruce) Warb.</t>
  </si>
  <si>
    <t>Virola duckei A.C. Sm.</t>
  </si>
  <si>
    <t>Virola flexuosa A.C. Sm.</t>
  </si>
  <si>
    <t>Virola multinervia Ducke</t>
  </si>
  <si>
    <t>Virola pavonis (A. DC.) A.C. Sm.</t>
  </si>
  <si>
    <t>Virola sebifera Aubl.</t>
  </si>
  <si>
    <t>Virola surinamensis (Rol. ex Rottb.) Warb.</t>
  </si>
  <si>
    <t>BELLACO CASPI</t>
  </si>
  <si>
    <t>Himatanthus sucuuba (Spruce ex Müll. Arg.) Woodson</t>
  </si>
  <si>
    <t>BOLAINA</t>
  </si>
  <si>
    <t>Guazuma crinita Mart.</t>
  </si>
  <si>
    <t>Guazuma ulmifolia Lam.</t>
  </si>
  <si>
    <t>BOLAINA BLANCA</t>
  </si>
  <si>
    <t>BOLAINA NEGRA</t>
  </si>
  <si>
    <t>BOTON CASPI</t>
  </si>
  <si>
    <t>Anthodiscus pilosus Ducke</t>
  </si>
  <si>
    <t>BREA CASPI</t>
  </si>
  <si>
    <t>Protium grandifolium Engl.</t>
  </si>
  <si>
    <t>CACHIMBO</t>
  </si>
  <si>
    <t>Allantoma decandra (Ducke) S.A. Mori Ya Y.Huang &amp; Prance</t>
  </si>
  <si>
    <t>Allantoma pluriflora S.A. Mori, Ya Y Huang &amp; Prance</t>
  </si>
  <si>
    <t>Cariniana decandra Ducke</t>
  </si>
  <si>
    <t>Cariniana domestica (Mart.) Miers</t>
  </si>
  <si>
    <t>Cariniana estrellensis (Raddi) Kuntze</t>
  </si>
  <si>
    <t>Couratari guianensis Aubl.</t>
  </si>
  <si>
    <t>Couratari macrosperma A.C.Sm.</t>
  </si>
  <si>
    <t>CACHIMBO BLANCO</t>
  </si>
  <si>
    <t>Couratari panamensis Standl.</t>
  </si>
  <si>
    <t>CACHIMBO COLORADO</t>
  </si>
  <si>
    <t>Ormosia coccinea (Aubl.) Jacks.</t>
  </si>
  <si>
    <t>CACHIMBO MISA</t>
  </si>
  <si>
    <t>CACHIMBO NEGRO</t>
  </si>
  <si>
    <t>CACHIMBO ROJO</t>
  </si>
  <si>
    <t>CAFECILLO</t>
  </si>
  <si>
    <t>Citharexylum poeppigii var. margaritaceum Moldenke</t>
  </si>
  <si>
    <t>Qualea paraensis Ducke</t>
  </si>
  <si>
    <t>Richeria grandis Vahl</t>
  </si>
  <si>
    <t>Rinorea viridifolia Rusby</t>
  </si>
  <si>
    <t>CAFECILLO HUAYRURO</t>
  </si>
  <si>
    <t>CAFETILLO</t>
  </si>
  <si>
    <t>CAIMITILLO</t>
  </si>
  <si>
    <t>Anthodiscus peruanus Baill.</t>
  </si>
  <si>
    <t>Micropholis egensis (A. DC.) Pierre</t>
  </si>
  <si>
    <t>Micropholis madeirensis (Baehni) AubrEv.</t>
  </si>
  <si>
    <t>Micropholis melinoniana Pierre</t>
  </si>
  <si>
    <t>Micropholis venulosa (Mart. &amp; Eichler) Pierre</t>
  </si>
  <si>
    <t>Pouteria baehniana Monach.</t>
  </si>
  <si>
    <t>Pouteria bangii (Rusby) T.D. Penn.</t>
  </si>
  <si>
    <t>Pouteria bilocularis (H.J.P. Winkl.) Baehni</t>
  </si>
  <si>
    <t>Pouteria caimito (Ruiz &amp; Pav.) Radlk.</t>
  </si>
  <si>
    <t>Pouteria procera (Mart.) K. Hammer</t>
  </si>
  <si>
    <t>CAIMITO</t>
  </si>
  <si>
    <t>Chrysophyllum prieurii A. DC.</t>
  </si>
  <si>
    <t>CAIMITO COLORADO</t>
  </si>
  <si>
    <t>CAMUNGO</t>
  </si>
  <si>
    <t>Erisma uncinatum Warm.</t>
  </si>
  <si>
    <t>Vochysia biloba Ducke</t>
  </si>
  <si>
    <t>CAMUNGO MOENA</t>
  </si>
  <si>
    <t>Vochysia ferruginea Mart.</t>
  </si>
  <si>
    <t>CANELA MOENA</t>
  </si>
  <si>
    <t>Licaria triandra (Sw.) Kosterm.</t>
  </si>
  <si>
    <t xml:space="preserve">Licaria triandra (Sw.) Kosterm. </t>
  </si>
  <si>
    <t>CAOBA</t>
  </si>
  <si>
    <t>Swietenia macrophylla King</t>
  </si>
  <si>
    <t>CAOBILLA</t>
  </si>
  <si>
    <t>CAPINURI</t>
  </si>
  <si>
    <t>Clarisia biflora Ruiz &amp; Pav.</t>
  </si>
  <si>
    <t>Maquira coriacea (H. Karst.) C.C. Berg</t>
  </si>
  <si>
    <t>CAPINURI DE ALTURA</t>
  </si>
  <si>
    <t>CAPIRONA</t>
  </si>
  <si>
    <t>Calycophyllum megistocaulum (K. Krause) C.M. Taylor</t>
  </si>
  <si>
    <t>Calycophyllum spruceanum (Benth.) Hook. f. ex K. Schum.</t>
  </si>
  <si>
    <t>Capirona decorticans Spruce</t>
  </si>
  <si>
    <t>Capirona macrophylla (Poepp. &amp; Endl.) Delprete</t>
  </si>
  <si>
    <t>CARACHA MOENA</t>
  </si>
  <si>
    <t>CARAHUASCA</t>
  </si>
  <si>
    <t>Guatteria ciata</t>
  </si>
  <si>
    <t>Guatteria elata R.E. Fr.</t>
  </si>
  <si>
    <t>Guatteria hyposericea Diels</t>
  </si>
  <si>
    <t>Guatteria megalophylla Diels</t>
  </si>
  <si>
    <t>Guatteria modesta Diels</t>
  </si>
  <si>
    <t>CARAÑA</t>
  </si>
  <si>
    <t>Dacryodes peruviana (Loes.) H.J. Lam</t>
  </si>
  <si>
    <t>Trattinnickia aspera (Standl.) Swart</t>
  </si>
  <si>
    <t>Trattinnickia peruviana Loes.</t>
  </si>
  <si>
    <t>Trattinnickia rhoifolia Willd.</t>
  </si>
  <si>
    <t>CARAPACHO</t>
  </si>
  <si>
    <t>Micrandra spruceana (Baill.) R.E. Schult.</t>
  </si>
  <si>
    <t>Terminalia oblonga (Ruiz &amp; Pav.) Steud.</t>
  </si>
  <si>
    <t>CASHA MOENA</t>
  </si>
  <si>
    <t>Ocotea oblonga (Meisn.) Mez</t>
  </si>
  <si>
    <t>CASHO</t>
  </si>
  <si>
    <t>Anacardium giganteum W. Hancock ex Engl.</t>
  </si>
  <si>
    <t>CASHO MOENA</t>
  </si>
  <si>
    <t>Sextonia pubescens van der Werff</t>
  </si>
  <si>
    <t>CATAHUA</t>
  </si>
  <si>
    <t>Hura crepitans L.</t>
  </si>
  <si>
    <t>CATUABA</t>
  </si>
  <si>
    <t>Qualea tessmannii Mildbr.</t>
  </si>
  <si>
    <t>CAUPURI</t>
  </si>
  <si>
    <t>Virola elongata (Benth.) Warb.</t>
  </si>
  <si>
    <t>Virola weberbaueri Markgr</t>
  </si>
  <si>
    <t>CAUPURI DE ALTURA</t>
  </si>
  <si>
    <t>CAUPURI DEL BAJO</t>
  </si>
  <si>
    <t>CEDRILLO</t>
  </si>
  <si>
    <t>Guarea glabra Vahl</t>
  </si>
  <si>
    <t>Guarea guidonia (L.) Sleumer</t>
  </si>
  <si>
    <t>Huertea glandulosa RuIz &amp; Pav.</t>
  </si>
  <si>
    <t>CEDRO</t>
  </si>
  <si>
    <t>Cedrela angustifolia DC.</t>
  </si>
  <si>
    <t>Cedrela longipetiolulata Harms</t>
  </si>
  <si>
    <t>Cedrela montana Moritz ex Turcz.</t>
  </si>
  <si>
    <t>Cedrela odorata L.</t>
  </si>
  <si>
    <t>CEDRO AMARGO</t>
  </si>
  <si>
    <t>CEDRO BLANCO</t>
  </si>
  <si>
    <t>Cedrela fissilis Vell.</t>
  </si>
  <si>
    <t>CEDRO COLOMBIANO</t>
  </si>
  <si>
    <t>Acrocarpus fraxinifolius Wight &amp; Arn.</t>
  </si>
  <si>
    <t>Cedrela angustifolia SessE &amp; Moc. ex DC.</t>
  </si>
  <si>
    <t>CEDRO DE AGUA</t>
  </si>
  <si>
    <t>CEDRO DE ALTURA</t>
  </si>
  <si>
    <t>CEDRO DE LA INDIA</t>
  </si>
  <si>
    <t>CEDRO DEL BAJO</t>
  </si>
  <si>
    <t>CEDRO HUASCA</t>
  </si>
  <si>
    <t>CEDRO LAGARTO</t>
  </si>
  <si>
    <t>CEDRO MASHA</t>
  </si>
  <si>
    <t>Cabralea canjerana (Vell.) Mart.</t>
  </si>
  <si>
    <t>Tapirira guianensis</t>
  </si>
  <si>
    <t>Tapirira guianensis Aubl.</t>
  </si>
  <si>
    <t>CEDRO PEREJIL</t>
  </si>
  <si>
    <t>Astronium graveolens Jacq.</t>
  </si>
  <si>
    <t>CEDRO VIRGEN</t>
  </si>
  <si>
    <t>CEPANCHINA</t>
  </si>
  <si>
    <t>Sloanea rufa Planch. ex Benth.</t>
  </si>
  <si>
    <t>CETICO</t>
  </si>
  <si>
    <t>Cecropia engleriana Snethl.</t>
  </si>
  <si>
    <t>Cecropia pachystachya TrEcul.</t>
  </si>
  <si>
    <t>CHAIRAPACAE</t>
  </si>
  <si>
    <t>Tachigali chrysaloides van der Werff</t>
  </si>
  <si>
    <t>Tachigali setifera (Ducke) Zarucchi &amp; Herend</t>
  </si>
  <si>
    <t>CHAMIZA</t>
  </si>
  <si>
    <t>Anthodiscus klugii Standl. ex Prance</t>
  </si>
  <si>
    <t>Buchenavia grandis Ducke</t>
  </si>
  <si>
    <t>Buchenavia sericocarpa Ducke</t>
  </si>
  <si>
    <t>Terminalia duckei Gere &amp; Boatwr.</t>
  </si>
  <si>
    <t>CHANCAPIEDRA</t>
  </si>
  <si>
    <t>Tachigali pilosa van der Werff</t>
  </si>
  <si>
    <t>CHANCAQUERO</t>
  </si>
  <si>
    <t>Vochysia kosñipatae Huamantupa</t>
  </si>
  <si>
    <t>Vochysia vismiifolia Spruce ex Warm.</t>
  </si>
  <si>
    <t>CHARICHUELO</t>
  </si>
  <si>
    <t>Garcinia madruno (Kunth) Hammel</t>
  </si>
  <si>
    <t>CHARQUI</t>
  </si>
  <si>
    <t>Anthodiscus amazonicus Gleason &amp; A.C. Sm.</t>
  </si>
  <si>
    <t>CHILIZO</t>
  </si>
  <si>
    <t>Pseudolmedia laevigata TrEcul</t>
  </si>
  <si>
    <t>Pseudolmedia laevis (Ruiz &amp; Pav.) J.F. Macbr.</t>
  </si>
  <si>
    <t>Pseudolmedia rigida (Klotzsch &amp; H. Karst.) Cuatrec.</t>
  </si>
  <si>
    <t>CHIMICUA</t>
  </si>
  <si>
    <t>Perebea rubra (TrEcul) C.C. Berg</t>
  </si>
  <si>
    <t>CHINGONGA</t>
  </si>
  <si>
    <t>Brosimum parinarioides Ducke</t>
  </si>
  <si>
    <t>Brosimum utile (Kunth) Oken</t>
  </si>
  <si>
    <t>CHONTAQUIRO</t>
  </si>
  <si>
    <t>Diplotropis martiusii Benth.</t>
  </si>
  <si>
    <t>Diplotropis purpurea (Rich.) Amshoff</t>
  </si>
  <si>
    <t>Hymenolobium excelsum Ducke</t>
  </si>
  <si>
    <t>Hymenolobium pulcherrimum Ducke</t>
  </si>
  <si>
    <t>Pterocarpus rohrii Vahl</t>
  </si>
  <si>
    <t>CHONTAQUIRO MASHA</t>
  </si>
  <si>
    <t>Dussia tessmannii Harms</t>
  </si>
  <si>
    <t>CHUCCHUMBO</t>
  </si>
  <si>
    <t>Schinopsis peruviana Engl.</t>
  </si>
  <si>
    <t>CIPRES</t>
  </si>
  <si>
    <t>CIRUELO</t>
  </si>
  <si>
    <t>Spondias mombin L.</t>
  </si>
  <si>
    <t>COCONILLA</t>
  </si>
  <si>
    <t>Citharexylum poeppigii Walp.</t>
  </si>
  <si>
    <t>Solanum appressum K.E. Roe</t>
  </si>
  <si>
    <t>Witheringia solanacea L'HEr.</t>
  </si>
  <si>
    <t>COLA DE VENADO</t>
  </si>
  <si>
    <t>Myrcianthes fragrans (Sw.) McVaugh</t>
  </si>
  <si>
    <t>CONGONA</t>
  </si>
  <si>
    <t>Brosimum alicastrum Sw.</t>
  </si>
  <si>
    <t>COPAIBA</t>
  </si>
  <si>
    <t>Copaifera multijuga Hayne</t>
  </si>
  <si>
    <t>Copaifera paupera (Herzog) Dwyer</t>
  </si>
  <si>
    <t>Copaifera reticulata Ducke</t>
  </si>
  <si>
    <t>Copaifera reticulata var. peruviana J.F. Macbr.</t>
  </si>
  <si>
    <t>COPAIBA BLANCA</t>
  </si>
  <si>
    <t>COPAL</t>
  </si>
  <si>
    <t>Crepidospermum goudotianum (Tul.) Triana &amp; Planch.</t>
  </si>
  <si>
    <t>Protium altsonii Sandwith</t>
  </si>
  <si>
    <t>Protium aracouchini (Aubl.) Marchand</t>
  </si>
  <si>
    <t>Protium nodulosum Swart</t>
  </si>
  <si>
    <t>Protium opacum Swart</t>
  </si>
  <si>
    <t>Protium puncticulatum J.F. Macbr.</t>
  </si>
  <si>
    <t>Protium sagotianum Marchand</t>
  </si>
  <si>
    <t>Protium spruceanum (Benth.) Engl.</t>
  </si>
  <si>
    <t>Protium subserratum (Engl.) Engl.</t>
  </si>
  <si>
    <t>Protium tenuifolium (Engl.) Engl.</t>
  </si>
  <si>
    <t>Trattinnickia lawrancei Standl.</t>
  </si>
  <si>
    <t>COPAL BLANCO</t>
  </si>
  <si>
    <t>Dendropanax williamsii (Harms) Harms</t>
  </si>
  <si>
    <t>COPAL CASPI</t>
  </si>
  <si>
    <t>Tetragastris altissima (Aubl.) Swart</t>
  </si>
  <si>
    <t>CORMIÑON</t>
  </si>
  <si>
    <t>Vitex cymosa Bertero ex Spreng.</t>
  </si>
  <si>
    <t>Vitex pseudolea Rusby</t>
  </si>
  <si>
    <t>COTOCALLANA</t>
  </si>
  <si>
    <t>Sloanea durissima Spruce ex Benth.</t>
  </si>
  <si>
    <t>Sterculia apetala (Jacq.) H. Karst.</t>
  </si>
  <si>
    <t>Sterculia apetala var. elata (Ducke) E.L. Taylor ex Brako &amp; Zarucchi</t>
  </si>
  <si>
    <t>Sterculia frondosa Rich</t>
  </si>
  <si>
    <t>CUMALA</t>
  </si>
  <si>
    <t>Compsoneura sprucei (A. DC.) Warb.</t>
  </si>
  <si>
    <t>Iryanthera elliptica Ducke</t>
  </si>
  <si>
    <t>Iryanthera juruensis Warb.</t>
  </si>
  <si>
    <t>Iryanthera lancifolia Ducke</t>
  </si>
  <si>
    <t>Iryanthera paraensis Huber</t>
  </si>
  <si>
    <t>Virola decorticans Ducke</t>
  </si>
  <si>
    <t>Virola peruviana (A. DC.) Warb.</t>
  </si>
  <si>
    <t>CUMALA AGUADA</t>
  </si>
  <si>
    <t>Osteophloeum platyspermum (Spruce ex A. DC.) Warb.</t>
  </si>
  <si>
    <t>CUMALA AMARILLA</t>
  </si>
  <si>
    <t>CUMALA BLANCA</t>
  </si>
  <si>
    <t>Iryanthera tessmannii Markgr.</t>
  </si>
  <si>
    <t>Virola mollissima (Poepp. ex A. DC.) Warb.</t>
  </si>
  <si>
    <t>CUMALA BLANCA DE HOJA MENUDA</t>
  </si>
  <si>
    <t>CUMALA BLANCA DE HOJA PARDA</t>
  </si>
  <si>
    <t>CUMALA CAUPURI</t>
  </si>
  <si>
    <t>Inga alba (Sw.) Willd</t>
  </si>
  <si>
    <t>CUMALA COLORADA</t>
  </si>
  <si>
    <t>Iryanthera grandis Ducke</t>
  </si>
  <si>
    <t>Iryanthera hostmannii (Benth.) Warb</t>
  </si>
  <si>
    <t>Iryanthera laevis Markgr.</t>
  </si>
  <si>
    <t>CUMALA LLORONA</t>
  </si>
  <si>
    <t>CUMALA NEGRA</t>
  </si>
  <si>
    <t>Virola caducifolia W.A. Rodrigues</t>
  </si>
  <si>
    <t>CUMALA ROJA</t>
  </si>
  <si>
    <t>CUMALA ROSADA</t>
  </si>
  <si>
    <t>CUNCHI MOENA</t>
  </si>
  <si>
    <t>Nectandra reticulata (Ruiz &amp; Pav.) Mez</t>
  </si>
  <si>
    <t>DIABLO FUERTE</t>
  </si>
  <si>
    <t>Podocarpus glomeratus D. Don</t>
  </si>
  <si>
    <t>ESTORAQUE</t>
  </si>
  <si>
    <t>Myroxylon balsamum (L.) Harms</t>
  </si>
  <si>
    <t>Myroxylon peruiferum L. f.</t>
  </si>
  <si>
    <t>EUCALIPTO</t>
  </si>
  <si>
    <t>Eucalyptus globulus Labill.</t>
  </si>
  <si>
    <t>Eucalyptus grandis W. Hill</t>
  </si>
  <si>
    <t>Eucalyptus saligna Sm.</t>
  </si>
  <si>
    <t>Eucalyptus torrelliana F. Muell.</t>
  </si>
  <si>
    <t>Eucalyptus urograndis</t>
  </si>
  <si>
    <t>Eucalyptus urophylla S.T.Blake</t>
  </si>
  <si>
    <t>FAIQUE</t>
  </si>
  <si>
    <t>Acacia macracantha Humb. &amp; Bonpl. Ex Willd.</t>
  </si>
  <si>
    <t>Vachellia macracantha (Humb. &amp; Bonpl. ex Willd.) Seigler &amp; Ebinger</t>
  </si>
  <si>
    <t>FAVORITO</t>
  </si>
  <si>
    <t>FRUTO DE VENADO</t>
  </si>
  <si>
    <t>Guarea kunthiana A. Juss.</t>
  </si>
  <si>
    <t>GOMA CASPI</t>
  </si>
  <si>
    <t>Castilla ulei Warb.</t>
  </si>
  <si>
    <t>GOMA HUAYO</t>
  </si>
  <si>
    <t>Parkia igneiflora Ducke</t>
  </si>
  <si>
    <t>Parkia nitida Miq.</t>
  </si>
  <si>
    <t>GOMA PASHACO</t>
  </si>
  <si>
    <t>GUABA</t>
  </si>
  <si>
    <t>Inga edulis Mart.</t>
  </si>
  <si>
    <t>GUACAMAYO</t>
  </si>
  <si>
    <t>Barnebydendron riedelii (Tul.) J.H. Kirkbr.</t>
  </si>
  <si>
    <t>Simira rubescens (Benth.) Bremek. ex Steyerm.</t>
  </si>
  <si>
    <t>GUACAMAYO CASPI</t>
  </si>
  <si>
    <t>Simira cordifolia (Hook. f.) Steyerm.</t>
  </si>
  <si>
    <t>GUARIUBA</t>
  </si>
  <si>
    <t>Clarisia racemosa Ruiz &amp; Pav.</t>
  </si>
  <si>
    <t>HIGUERILLA</t>
  </si>
  <si>
    <t>Cunuria spruceana Baill.</t>
  </si>
  <si>
    <t>Micrandra elata (Didr.) Müll. Arg.</t>
  </si>
  <si>
    <t>HIGUERON</t>
  </si>
  <si>
    <t>Ficus trigona L. f.</t>
  </si>
  <si>
    <t>HUACAMAYO</t>
  </si>
  <si>
    <t>HUACAMAYO CASPI</t>
  </si>
  <si>
    <t>HUACAPU</t>
  </si>
  <si>
    <t>HUALAJA</t>
  </si>
  <si>
    <t>Zanthoxylum acuminatum (Sw.) Sw.</t>
  </si>
  <si>
    <t>Zanthoxylum ekmanii (Urb.) Alain</t>
  </si>
  <si>
    <t>Zanthoxylum juniperinum Poepp.</t>
  </si>
  <si>
    <t>Zanthoxylum rhoifolium Lam.</t>
  </si>
  <si>
    <t>HUAMANCHILCA</t>
  </si>
  <si>
    <t>Gordonia fruticosa (Schrad.) H. Keng</t>
  </si>
  <si>
    <t>HUAMANSAMANA</t>
  </si>
  <si>
    <t>HUAMANZAMANA</t>
  </si>
  <si>
    <t>HUANGANA</t>
  </si>
  <si>
    <t>HUANGANA CASHA</t>
  </si>
  <si>
    <t>Sloanea fragrans Rusby</t>
  </si>
  <si>
    <t>HUANGANA CASHO</t>
  </si>
  <si>
    <t>HUANGANA CASPI</t>
  </si>
  <si>
    <t>HUARMI CASPI</t>
  </si>
  <si>
    <t>Sterculia apeibophylla Ducke</t>
  </si>
  <si>
    <t>Sterculia peruviana (D.R. Simpson) E.L. Taylor ex Brako &amp; Zarucchi</t>
  </si>
  <si>
    <t>Sterculia pruriens (Aubl.) K. Schum.</t>
  </si>
  <si>
    <t>HUAYRURO</t>
  </si>
  <si>
    <t>Ormosia amazonica Ducke</t>
  </si>
  <si>
    <t>Ormosia macrocalyx Ducke</t>
  </si>
  <si>
    <t>Ormosia paraensis Ducke</t>
  </si>
  <si>
    <t>Ormosia peruviana Rudd</t>
  </si>
  <si>
    <t>Ormosia schunkei Rudd</t>
  </si>
  <si>
    <t xml:space="preserve">HUAYRURO                                          </t>
  </si>
  <si>
    <t>HUAYRURO AMARILLO</t>
  </si>
  <si>
    <t>HUAYRURO BLANCO</t>
  </si>
  <si>
    <t>HUAYRURO CASADO</t>
  </si>
  <si>
    <t>Ormosia arborea (Vell.) Harms</t>
  </si>
  <si>
    <t>HUAYRURO COLORADO</t>
  </si>
  <si>
    <t>HUAYRURO NEGRO</t>
  </si>
  <si>
    <t>HUAYRURO ROJO</t>
  </si>
  <si>
    <t>HUIMBA</t>
  </si>
  <si>
    <t>Ceiba lupuna P.E. Gibbs &amp; Semir</t>
  </si>
  <si>
    <t>Ceiba samauma (Mart.) K. Schum.</t>
  </si>
  <si>
    <t>Cochlospermum orinocense (Kunth) Steud.</t>
  </si>
  <si>
    <t>HUIMBA BLANCA</t>
  </si>
  <si>
    <t>HUIMBA NEGRA</t>
  </si>
  <si>
    <t>INCA PACAE</t>
  </si>
  <si>
    <t>Inga pezizifera Benth.</t>
  </si>
  <si>
    <t>Tachigali vasquezii Pipoly</t>
  </si>
  <si>
    <t>Vismia amazonica Ewan</t>
  </si>
  <si>
    <t>INSIRA</t>
  </si>
  <si>
    <t>Maclura tinctoria (L.) D. Don ex Steud.</t>
  </si>
  <si>
    <t>ISHPINGO</t>
  </si>
  <si>
    <t xml:space="preserve">Abarema acreana (J.F. Macbr.) L. Rico  </t>
  </si>
  <si>
    <t>Amburana acreana (Ducke) A.C. Sm.</t>
  </si>
  <si>
    <t>Amburana cearensis (Allemao) A.C.</t>
  </si>
  <si>
    <t>Nectandra cuspidata Nees &amp; Mart.</t>
  </si>
  <si>
    <t>ISHPINGUILLO</t>
  </si>
  <si>
    <t>Ocotea jelskii Mez</t>
  </si>
  <si>
    <t>ISIGO</t>
  </si>
  <si>
    <t>ISMA MOENA</t>
  </si>
  <si>
    <t>Pleurothyrium parviflorum Ducke</t>
  </si>
  <si>
    <t>ITAUBA</t>
  </si>
  <si>
    <t>Mezilaurus itauba (Meisn.) Taub. ex Mez</t>
  </si>
  <si>
    <t>ITAUBA MOENA</t>
  </si>
  <si>
    <t>LAGARTO CASPI</t>
  </si>
  <si>
    <t>Calophyllum longifolium Willd</t>
  </si>
  <si>
    <t>Calophyllum pubescens Vela DIaz</t>
  </si>
  <si>
    <t>Calycophyllum brasiliensis K. Schum.</t>
  </si>
  <si>
    <t>Pseudopiptadenia suaveolens (Miq.) J.W. Grimes</t>
  </si>
  <si>
    <t>LANCHAN</t>
  </si>
  <si>
    <t>Poulsenia armata (Miq.) Standl.</t>
  </si>
  <si>
    <t>LECHE</t>
  </si>
  <si>
    <t>Sapium marmieri Huber</t>
  </si>
  <si>
    <t>LECHE CASPI</t>
  </si>
  <si>
    <t>Batocarpus orinocensis H. Karst.</t>
  </si>
  <si>
    <t>Brosimum longifolium Ducke</t>
  </si>
  <si>
    <t>Brosimum multinervium C.C. Berg</t>
  </si>
  <si>
    <t>Couma macrocarpa Barb. Rodr.</t>
  </si>
  <si>
    <t>LECHE LECHE</t>
  </si>
  <si>
    <t>Ficus crassiuscula Warb. ex Standl.</t>
  </si>
  <si>
    <t>LECHERO</t>
  </si>
  <si>
    <t>Myrsine pellucida (Ruiz &amp; Pav.) Spreng.</t>
  </si>
  <si>
    <t>LECHERO AMARILLO</t>
  </si>
  <si>
    <t>LECHERO BLANCO</t>
  </si>
  <si>
    <t>Sapium glandulosum (L.) Morong</t>
  </si>
  <si>
    <t>LIMONCILLO</t>
  </si>
  <si>
    <t>LORO MICUNA</t>
  </si>
  <si>
    <t>Conceveiba terminalis (Baill.) Müll. Arg.</t>
  </si>
  <si>
    <t>Inga marginata Willd.</t>
  </si>
  <si>
    <t>Macoubea guianensis Aubl.</t>
  </si>
  <si>
    <t>LUCMA DE MONTE</t>
  </si>
  <si>
    <t>LUPUNA</t>
  </si>
  <si>
    <t>Ceiba pentandra (L.) Gaertn.</t>
  </si>
  <si>
    <t>LUPUNA BLANCA</t>
  </si>
  <si>
    <t>MACHIMANGO</t>
  </si>
  <si>
    <t>Eschweilera albiflora (DC.) Miers</t>
  </si>
  <si>
    <t>Eschweilera coriacea (DC.) S.A. Mori</t>
  </si>
  <si>
    <t>Eschweilera decolorans Sandwith</t>
  </si>
  <si>
    <t>Eschweilera gigantea (R. Knuth) J.F. Macbr.</t>
  </si>
  <si>
    <t>Eschweilera juruensis R. Knuth</t>
  </si>
  <si>
    <t>MACHIMANGO BLANCO</t>
  </si>
  <si>
    <t>MACHIMANGO COLORADO</t>
  </si>
  <si>
    <t>MACHIN SAPOTE</t>
  </si>
  <si>
    <t>Matisia bicolor Ducke</t>
  </si>
  <si>
    <t>MACHINGA</t>
  </si>
  <si>
    <t>MAHUBA</t>
  </si>
  <si>
    <t>Mezilaurus mahuba (A. Samp.) van der Werff</t>
  </si>
  <si>
    <t>Mezilaurus mahuba (Samp.) van der Werff</t>
  </si>
  <si>
    <t>Vochysia venulosa Warm.</t>
  </si>
  <si>
    <t>MANCHINGA</t>
  </si>
  <si>
    <t>Brosimum guianense (Aubl.) Huber</t>
  </si>
  <si>
    <t>Brosimum lactescens (S. Moore) C.C. Berg</t>
  </si>
  <si>
    <t>MANZANO</t>
  </si>
  <si>
    <t>Hesperomeles ferruginea (Pers.) Benth.</t>
  </si>
  <si>
    <t>Hieronyma alchorneoides Allemão</t>
  </si>
  <si>
    <t>Hieronyma asperifolia Pax &amp; K. Hoffm.</t>
  </si>
  <si>
    <t>MANZANO LANCHE</t>
  </si>
  <si>
    <t>MARI MARI</t>
  </si>
  <si>
    <t>Vatairea guianensis Aubl.</t>
  </si>
  <si>
    <t>MARIA BUENA</t>
  </si>
  <si>
    <t>MARUPA</t>
  </si>
  <si>
    <t>Simarouba amara Aubl.</t>
  </si>
  <si>
    <t xml:space="preserve">MARUPA </t>
  </si>
  <si>
    <t>MASHONASTE</t>
  </si>
  <si>
    <t>Batocarpus amazonicus (Ducke) Fosberg</t>
  </si>
  <si>
    <t>Batocarpus costaricensis Standl. &amp; L.O. Williams</t>
  </si>
  <si>
    <t>MASHONASTE BLANCO</t>
  </si>
  <si>
    <t>Brosimum rubescens Taub.</t>
  </si>
  <si>
    <t>MATAPALO</t>
  </si>
  <si>
    <t>Ficus coerulescens (Rusby) Rossberg.</t>
  </si>
  <si>
    <t>Ficus pertusa L. f.</t>
  </si>
  <si>
    <t>MATAPALO AMARILLO</t>
  </si>
  <si>
    <t>Ficus piresiana VAzq. Avila &amp; C.C. Berg</t>
  </si>
  <si>
    <t>Ficus sphenophylla Standl.</t>
  </si>
  <si>
    <t>Paratrophis insignis (Bureau) E.M. Gardner</t>
  </si>
  <si>
    <t>MATAPALO BLANCO</t>
  </si>
  <si>
    <t>MATAPALO COLORADO</t>
  </si>
  <si>
    <t>Ficus insipida Willd.</t>
  </si>
  <si>
    <t>MAUBA</t>
  </si>
  <si>
    <t>Qualea acuminata Spruce ex Warm.</t>
  </si>
  <si>
    <t>Ruizterania trichanthera (Warm.) Marc.-Berti</t>
  </si>
  <si>
    <t>Vochysia obscura Warm.</t>
  </si>
  <si>
    <t>METO HUAYO</t>
  </si>
  <si>
    <t>Caryodendron orinocense H. Karst.</t>
  </si>
  <si>
    <t>MISA</t>
  </si>
  <si>
    <t>Couratari domestica Mart.</t>
  </si>
  <si>
    <t>MISA COLORADA</t>
  </si>
  <si>
    <t>MOENA</t>
  </si>
  <si>
    <t>Aiouea montana (Sw.) R. Rohde</t>
  </si>
  <si>
    <t>Aniba puchury-minor (Mart.) Mez</t>
  </si>
  <si>
    <t>Licaria armeniaca (Nees) Kosterm.</t>
  </si>
  <si>
    <t>Nectandra cissiflora Nees</t>
  </si>
  <si>
    <t>Nectandra discolor (Kunth) Nees</t>
  </si>
  <si>
    <t>Nectandra hihua (Ruiz &amp; Pav.) Rohwer</t>
  </si>
  <si>
    <t>Nectandra lineatifolia (Ruiz &amp; Pav.) Mez</t>
  </si>
  <si>
    <t>Nectandra longifolia (Ruiz &amp; Pav.) Nees</t>
  </si>
  <si>
    <t>Nectandra pulverulenta Nees</t>
  </si>
  <si>
    <t>Ocotea cernua (Nees) Mez</t>
  </si>
  <si>
    <t>Ocotea obovata (Ruiz &amp; Pav.) Mez</t>
  </si>
  <si>
    <t>Ocotea puberula (Rich.) Nees</t>
  </si>
  <si>
    <t>MOENA AGUADA</t>
  </si>
  <si>
    <t>MOENA ALCANFOR</t>
  </si>
  <si>
    <t>Aniba perutilis Hemsl.</t>
  </si>
  <si>
    <t>Nectandra membranacea (Sw.) Griseb.</t>
  </si>
  <si>
    <t>MOENA ALCANFORADA</t>
  </si>
  <si>
    <t>MOENA AMARILLA</t>
  </si>
  <si>
    <t>Aniba megaphylla Mez</t>
  </si>
  <si>
    <t>Nectandra dasystyla Rohwer</t>
  </si>
  <si>
    <t>Nectandra globosa (Aubl.) Mez</t>
  </si>
  <si>
    <t>Nectandra sordida Rohwer</t>
  </si>
  <si>
    <t>Ocotea bofo Kunth</t>
  </si>
  <si>
    <t>Ocotea leucoxylon (Sw.) Laness.</t>
  </si>
  <si>
    <t>MOENA ANIS</t>
  </si>
  <si>
    <t>MOENA BLANCA</t>
  </si>
  <si>
    <t>Endlicheria tschudyana (Lasser) Kosterm.</t>
  </si>
  <si>
    <t>Ocotea floribunda (Sw.) Mez</t>
  </si>
  <si>
    <t>Styrax cordatus (Ruiz &amp; Pav.) A. DC.</t>
  </si>
  <si>
    <t>MOENA CAMUNGO</t>
  </si>
  <si>
    <t>MOENA CANELA</t>
  </si>
  <si>
    <t>Licaria cannella (Meisn.) Kosterm.</t>
  </si>
  <si>
    <t>MOENA DE HOJA MARRON</t>
  </si>
  <si>
    <t>Pleurothyrium cuneifolium Nees</t>
  </si>
  <si>
    <t>MOENA HIPO</t>
  </si>
  <si>
    <t>Aniba cylindriflora Kosterm.</t>
  </si>
  <si>
    <t>MOENA HOJA MARRON</t>
  </si>
  <si>
    <t>Ocotea argyrophylla Ducke</t>
  </si>
  <si>
    <t>MOENA MANTECA</t>
  </si>
  <si>
    <t>Damburneya purpurea (Ruiz &amp; Pav.) Trofimov</t>
  </si>
  <si>
    <t>MOENA NEGRA</t>
  </si>
  <si>
    <t>Ocotea olivacea A.C. Sm. Vel sp aff.</t>
  </si>
  <si>
    <t>MOENA NEGRA HOJA ANCHA</t>
  </si>
  <si>
    <t>MOENA PALTA</t>
  </si>
  <si>
    <t>Beilschmiedia latifolia (Nees) Sach. Nishida</t>
  </si>
  <si>
    <t>Beilschmiedia pendula (Sw.) Hemsl.</t>
  </si>
  <si>
    <t>MOENA ROSADA</t>
  </si>
  <si>
    <t>Ocotea ucayalensis O.C. Schmidt</t>
  </si>
  <si>
    <t>MOENA SIN OLOR</t>
  </si>
  <si>
    <t>NARANJO PODRIDO</t>
  </si>
  <si>
    <t>Parahancornia peruviana Monach.</t>
  </si>
  <si>
    <t>NOGAL</t>
  </si>
  <si>
    <t>Juglans neotropica Diels</t>
  </si>
  <si>
    <t>NOGAL AMARILLO</t>
  </si>
  <si>
    <t>Buchenavia amazonia Alwan &amp; Stace</t>
  </si>
  <si>
    <t>Lafoensia punicifolia DC.</t>
  </si>
  <si>
    <t>Terminalia amazonia (J.F. Gmel.) Exell</t>
  </si>
  <si>
    <t>Terminalia grandis (Ducke) Gere &amp; Boatwr.</t>
  </si>
  <si>
    <t>Terminalia viridiflora (Ducke) Gere &amp; Boatwr.</t>
  </si>
  <si>
    <t>NOGAL NEGRO</t>
  </si>
  <si>
    <t>OCHABAJA</t>
  </si>
  <si>
    <t>Pentaplaris davidsmithii Dorr &amp; C. Bayer.</t>
  </si>
  <si>
    <t>Ruizodendron ovale (Ruiz &amp; Pav.) R.E. Fr.</t>
  </si>
  <si>
    <t>OJE</t>
  </si>
  <si>
    <t>OJE RENACO</t>
  </si>
  <si>
    <t>Ficus gomelleira Kunth &amp; C.D. BouchE</t>
  </si>
  <si>
    <t>Ficus gomelleira Monach. ex Kunth &amp; Bouch.</t>
  </si>
  <si>
    <t>Ficus maxima Mill.</t>
  </si>
  <si>
    <t>PACAE</t>
  </si>
  <si>
    <t>Inga chartacea Poepp.</t>
  </si>
  <si>
    <t>Inga macrophylla Humb. &amp; Bonpl. ex Willd.</t>
  </si>
  <si>
    <t>Inga thibaudiana DC.</t>
  </si>
  <si>
    <t>PACAE COLORADO</t>
  </si>
  <si>
    <t>PACAE DE MONTE</t>
  </si>
  <si>
    <t>Macrolobium angustifolium (Benth.) R.S. Cowan</t>
  </si>
  <si>
    <t>PACAE SHIMBILLO</t>
  </si>
  <si>
    <t>PACE ROJO</t>
  </si>
  <si>
    <t>PALIPERRO</t>
  </si>
  <si>
    <t>Vitex orinocensis Kunth</t>
  </si>
  <si>
    <t>PALISANGRE</t>
  </si>
  <si>
    <t>Dialium guianense (Aubl.) Sandwith</t>
  </si>
  <si>
    <t>PALISANGRE BLANCO</t>
  </si>
  <si>
    <t>PALO ACHIOTE</t>
  </si>
  <si>
    <t>Elaeagia utilis (Goudot) Wedd.</t>
  </si>
  <si>
    <t>Meliosma boliviensis Cuatrec.</t>
  </si>
  <si>
    <t>Meliosma herbertii Rolfe</t>
  </si>
  <si>
    <t>PALO AJO</t>
  </si>
  <si>
    <t>Gallesia integrifolia (Spreng) Harms</t>
  </si>
  <si>
    <t>PALO ASERRIN</t>
  </si>
  <si>
    <t>Prunus detrita J.F. Macbr.</t>
  </si>
  <si>
    <t>Prunus littlei PErez Zab.</t>
  </si>
  <si>
    <t>Prunus pleiantha Pilg.</t>
  </si>
  <si>
    <t>PALO AZUFRE</t>
  </si>
  <si>
    <t>PALO BASTON</t>
  </si>
  <si>
    <t>PALO BRASILERO</t>
  </si>
  <si>
    <t>Aspidosperma cylindrocarpon Müll. Arg.</t>
  </si>
  <si>
    <t>PALO CAFE</t>
  </si>
  <si>
    <t>PALO CAÑA</t>
  </si>
  <si>
    <t>Chimarrhis glabriflora Ducke</t>
  </si>
  <si>
    <t>Guarea gomma Pulle</t>
  </si>
  <si>
    <t>Parachimarrhis breviloba Ducke vel sp aff</t>
  </si>
  <si>
    <t>Sterigmapetalum obovatum Kuhlm</t>
  </si>
  <si>
    <t>Warszewiczia elata Ducke</t>
  </si>
  <si>
    <t>PALO CHARQUI</t>
  </si>
  <si>
    <t>PALO CIRUELO</t>
  </si>
  <si>
    <t>Spondias testudinis J.D. Mitch. &amp; Daly</t>
  </si>
  <si>
    <t>PALO CRUZ</t>
  </si>
  <si>
    <t>PALO CULEBRA</t>
  </si>
  <si>
    <t>Dendrobangia boliviana Rusby</t>
  </si>
  <si>
    <t>Erisma micranthum Spruce ex Wam.</t>
  </si>
  <si>
    <t>Erisma micranthum Spruce Ex Warm Vel sp aff</t>
  </si>
  <si>
    <t>Panopsis mucronata Cuatrec.</t>
  </si>
  <si>
    <t>Roupala montana Aubl.</t>
  </si>
  <si>
    <t>PALO HUESO</t>
  </si>
  <si>
    <t>Celtis schippii Standl.</t>
  </si>
  <si>
    <t>Pterygota amazonica L.O. Williams ex Dorr</t>
  </si>
  <si>
    <t>PALO LAGAÑOSO</t>
  </si>
  <si>
    <t>Vochysia gigantea Stafleu</t>
  </si>
  <si>
    <t>PALO LECHE</t>
  </si>
  <si>
    <t>PALO LECHERO</t>
  </si>
  <si>
    <t>PALO MANZANO</t>
  </si>
  <si>
    <t>Hieronyma macrocarpa Müll. Arg.</t>
  </si>
  <si>
    <t>PALO PAJARITA</t>
  </si>
  <si>
    <t>Miconia poeppigii Triana</t>
  </si>
  <si>
    <t>PALO PAJARITO</t>
  </si>
  <si>
    <t>Ziziphus cinnamomum Triana &amp; Planch.</t>
  </si>
  <si>
    <t>PALO PEREJIL</t>
  </si>
  <si>
    <t>Vismia cayennensis (Jacq.) Pers. Vel sp. Aff.</t>
  </si>
  <si>
    <t>PALO PERUANO</t>
  </si>
  <si>
    <t>PALO SANGRE</t>
  </si>
  <si>
    <t>Pterocarpus amazonum (Mart. ex Benth.) Amshoff</t>
  </si>
  <si>
    <t>PALO SANGRE BLANCO</t>
  </si>
  <si>
    <t>PALO SANGRE NEGRO</t>
  </si>
  <si>
    <t>PALO SANTO</t>
  </si>
  <si>
    <t>Bursera graveolens (Kunth) Triana &amp; Planch.</t>
  </si>
  <si>
    <t>PALO VERDE</t>
  </si>
  <si>
    <t>Vochysia braceliniae Standl</t>
  </si>
  <si>
    <t>PALOCAÑA</t>
  </si>
  <si>
    <t>Sacoglottis amazonica</t>
  </si>
  <si>
    <t>PALOSANGRE</t>
  </si>
  <si>
    <t>Swartzia gracilis</t>
  </si>
  <si>
    <t>PALTA MOENA</t>
  </si>
  <si>
    <t>Beilschmiedia costaricensis (Mez &amp; Pittier) C.K. Allen</t>
  </si>
  <si>
    <t>Beilschmiedia sulcata (Ruiz &amp; Pav.) Kosterm.</t>
  </si>
  <si>
    <t>Persea caerulea (Ruiz &amp; Pav.) Mez</t>
  </si>
  <si>
    <t>PAMA</t>
  </si>
  <si>
    <t>PAMAQUI</t>
  </si>
  <si>
    <t>Pseudolmedia macrophylla TrEcul</t>
  </si>
  <si>
    <t>PANGUANA</t>
  </si>
  <si>
    <t>PANGUANA DE HOJA ANCHA</t>
  </si>
  <si>
    <t>PAPELILLO</t>
  </si>
  <si>
    <t>Handroanthus ochraceus (Cham.) Mattos</t>
  </si>
  <si>
    <t>Lecythis chartacea O. Berg</t>
  </si>
  <si>
    <t>Tecoma chrysantha (Jacq.) A. DC.</t>
  </si>
  <si>
    <t>PAPELILLO CASPI</t>
  </si>
  <si>
    <t>Chimarrhis hookeri K. Schum.</t>
  </si>
  <si>
    <t>PARINARI</t>
  </si>
  <si>
    <t>Couepia bernardii Prance</t>
  </si>
  <si>
    <t>Couepia bracteosa Benth.</t>
  </si>
  <si>
    <t>PASHACO</t>
  </si>
  <si>
    <t>Acacia kuhlmannii Ducke</t>
  </si>
  <si>
    <t>Acacia loretensis J.F.Macbr.</t>
  </si>
  <si>
    <t>Albizia niopoides (Spruce ex Benth.) Burkart</t>
  </si>
  <si>
    <t>Albizia subdimidiata (Splitg.) Barneby &amp; J.W. Grimes</t>
  </si>
  <si>
    <t>Parkia multijuga Benth.</t>
  </si>
  <si>
    <t>Parkia panurensis Benth. ex H.C. Hopkins</t>
  </si>
  <si>
    <t>Parkia pendula (Willd.) Benth. ex Walp.</t>
  </si>
  <si>
    <t>Parkia ulei (Harms) Kuhlm.</t>
  </si>
  <si>
    <t>Schizolobium amazonicum Huber ex Ducke</t>
  </si>
  <si>
    <t>Schizolobium excelsum Vogel</t>
  </si>
  <si>
    <t>Schizolobium parahyba (Vell.)</t>
  </si>
  <si>
    <t>Schizolobium parahyba (Vell.) S.F. Blake</t>
  </si>
  <si>
    <t>Schizolobium excelsum Vogel</t>
  </si>
  <si>
    <t>Senegalia loretensis (J.F.Macbr.) Seigler &amp; Ebinger</t>
  </si>
  <si>
    <t>Senegalia tenuifolia (L.) Britton &amp; Rose</t>
  </si>
  <si>
    <t>Stryphnodendron pulcherrimum (Willd.) Hochr.</t>
  </si>
  <si>
    <t>PASHACO ATORNILLADO</t>
  </si>
  <si>
    <t>PASHACO BLANCO</t>
  </si>
  <si>
    <t>Senegalia polyphylla  (DC.) Britton</t>
  </si>
  <si>
    <t>PASHACO COLORADO</t>
  </si>
  <si>
    <t>Stryphnodendron guianense (Aubl.) Benth.</t>
  </si>
  <si>
    <t>PASHACO CURTIDOR</t>
  </si>
  <si>
    <t>Parkia velutina Benoist</t>
  </si>
  <si>
    <t>PASHACO GOMA HUAYO</t>
  </si>
  <si>
    <t>PASHACO HUAYRURO</t>
  </si>
  <si>
    <t>Vatairea fusca (Ducke) Ducke</t>
  </si>
  <si>
    <t>PASHACO ISHPINGUILLO</t>
  </si>
  <si>
    <t>Enterolobium schomburgkii (Benth.) Benth.</t>
  </si>
  <si>
    <t>PASHACO NEGRO</t>
  </si>
  <si>
    <t>PASHACO ROJO</t>
  </si>
  <si>
    <t>Stryphnodendron microstachyum Poepp.</t>
  </si>
  <si>
    <t>PAUJIL RURO</t>
  </si>
  <si>
    <t>Trichilia pleeana (A. Juss.) C. DC.</t>
  </si>
  <si>
    <t>PINA QUIRO</t>
  </si>
  <si>
    <t>PINO</t>
  </si>
  <si>
    <t>Pinus oocarpa; Schiede ex Schltdl.</t>
  </si>
  <si>
    <t>Pinus patula Schltdl. &amp; Cham.</t>
  </si>
  <si>
    <t>Pinus radiata D. Don</t>
  </si>
  <si>
    <t>Pinus tecunumanii F. Schwerdtf. ex Eguiluz &amp; J.P.</t>
  </si>
  <si>
    <t>PINO CHUNCHO</t>
  </si>
  <si>
    <t>PINO DE ALTURA</t>
  </si>
  <si>
    <t>PINO TECUNUMANII</t>
  </si>
  <si>
    <t>PIRI PIRI</t>
  </si>
  <si>
    <t>Miconia barbeyana Cogn.</t>
  </si>
  <si>
    <t>PISHO</t>
  </si>
  <si>
    <t>Andira inermis(Sw.) Kunth</t>
  </si>
  <si>
    <t>Andira multistipula Ducke</t>
  </si>
  <si>
    <t>PISONAY</t>
  </si>
  <si>
    <t>Erythrina poeppigiana (Walp.) O.F. Cook</t>
  </si>
  <si>
    <t>PLANO</t>
  </si>
  <si>
    <t>Beilschmiedia tovarensis (Klotzsch &amp; H. Karst. ex Meisn.) Sach. Nishida</t>
  </si>
  <si>
    <t>Endlicheria szyszylowiczii Mez</t>
  </si>
  <si>
    <t>POCHOTOROQUE</t>
  </si>
  <si>
    <t>Protium altissimum (Aubl.) Marchand</t>
  </si>
  <si>
    <t>Tetragastris panamensis (Engl.) Kuntze</t>
  </si>
  <si>
    <t>POROQUI</t>
  </si>
  <si>
    <t>Alchornea glandulosa Poepp.</t>
  </si>
  <si>
    <t>PUCAQUIRO</t>
  </si>
  <si>
    <t>PUMAQUIRO</t>
  </si>
  <si>
    <t>Aspidosperma macrocarpon Mart.</t>
  </si>
  <si>
    <t>PUNGA</t>
  </si>
  <si>
    <t>Eriotheca globosa (Aubl.) A. Robyns</t>
  </si>
  <si>
    <t>Pachira aquatica Aubl.</t>
  </si>
  <si>
    <t>PUNGA HUIMBA</t>
  </si>
  <si>
    <t>PUNGA NEGRA</t>
  </si>
  <si>
    <t>PUNGAR MUENA</t>
  </si>
  <si>
    <t>QUILLOBARA</t>
  </si>
  <si>
    <t>Caraipa grandifolia Mart.</t>
  </si>
  <si>
    <t>QUILLOBORDON</t>
  </si>
  <si>
    <t>Aspidosperma megalocarpon Müll. Arg.</t>
  </si>
  <si>
    <t>Aspidosperma parvifolium A. DC.</t>
  </si>
  <si>
    <t>Aspidosperma schultesii Woodson</t>
  </si>
  <si>
    <t>QUILLOSISA</t>
  </si>
  <si>
    <t>Vochysia densiflora Spruce</t>
  </si>
  <si>
    <t>Vochysia grandis Mart.</t>
  </si>
  <si>
    <t>Vochysia lomatophylla Standl.</t>
  </si>
  <si>
    <t>QUILLOVARA</t>
  </si>
  <si>
    <t>QUINA QUINA</t>
  </si>
  <si>
    <t>Pouteria reticulata (Engl.) Eyma</t>
  </si>
  <si>
    <t>Pouteria torta (Mart.) Radlk.</t>
  </si>
  <si>
    <t>QUINA QUINA NEGRA</t>
  </si>
  <si>
    <t>QUINILLA</t>
  </si>
  <si>
    <t>Manilkara bidentata (A. DC.) A. Chev.</t>
  </si>
  <si>
    <t>Manilkara inundata (Ducke) Ducke</t>
  </si>
  <si>
    <t>Pouteria cuspidata (A. DC.) Baehni</t>
  </si>
  <si>
    <t>Pouteria guianensis Aubl</t>
  </si>
  <si>
    <t>QUINILLA BLANCA</t>
  </si>
  <si>
    <t>QUINILLA COLORADA</t>
  </si>
  <si>
    <t>RACA HUAYO</t>
  </si>
  <si>
    <t>RENACO</t>
  </si>
  <si>
    <t>REQUIA</t>
  </si>
  <si>
    <t>Guarea macrophylla Vahl</t>
  </si>
  <si>
    <t>Guarea pterorhachis Harms</t>
  </si>
  <si>
    <t>REQUIA COLORADA</t>
  </si>
  <si>
    <t>Guarea cinnamomea Harms</t>
  </si>
  <si>
    <t>REQUIA NEGRA</t>
  </si>
  <si>
    <t>RIFARI</t>
  </si>
  <si>
    <t>Miconia dolichorrhyncha Naudin</t>
  </si>
  <si>
    <t>RIÑON CASPI</t>
  </si>
  <si>
    <t>ROBLE</t>
  </si>
  <si>
    <t>Pleurothyrium cinereum van der Werff</t>
  </si>
  <si>
    <t>Rhodostemonodaphne kunthiana (Nees) Rohwer</t>
  </si>
  <si>
    <t>ROBLE AMARILLO</t>
  </si>
  <si>
    <t>Ocotea longifolia Kunth</t>
  </si>
  <si>
    <t>ROBLE BLANCO</t>
  </si>
  <si>
    <t>ROBLE CORRIENTE</t>
  </si>
  <si>
    <t>Nectandra acutifolia (Ruiz &amp; Pav.) Mez</t>
  </si>
  <si>
    <t>Nectandra lineata (Kunth) Rohwer</t>
  </si>
  <si>
    <t>ROBLE ZAPALLO</t>
  </si>
  <si>
    <t>SACHA CASHO</t>
  </si>
  <si>
    <t>SACHA HUASCA</t>
  </si>
  <si>
    <t>Eschweilera parvifolia (Aubl.) Miers</t>
  </si>
  <si>
    <t>Lecythis chartacea O. Berg vel sp aff.</t>
  </si>
  <si>
    <t>Lecythis pisonis Cambess</t>
  </si>
  <si>
    <t>SACHA HUASCA COLORADA</t>
  </si>
  <si>
    <t>SACHA PALTA</t>
  </si>
  <si>
    <t>SACHA TULPAY</t>
  </si>
  <si>
    <t>SACHA UVILLA</t>
  </si>
  <si>
    <t>Pourouma bicolor Mart.</t>
  </si>
  <si>
    <t>SACHAHUASCA</t>
  </si>
  <si>
    <t>Eschweilera grandiflora (Aubl.) Sandwith</t>
  </si>
  <si>
    <t>SACHAHUASCA COLORADA</t>
  </si>
  <si>
    <t>SACHAVACA CASPI</t>
  </si>
  <si>
    <t>Pseudosenefeldera inclinata (Müll. Arg.) Esser</t>
  </si>
  <si>
    <t>SANGRE DE GRADO</t>
  </si>
  <si>
    <t>Croton lechleri Müll. Arg.</t>
  </si>
  <si>
    <t>SANGRE DE TORO</t>
  </si>
  <si>
    <t>SANGRE SANGRE</t>
  </si>
  <si>
    <t>SAPOTE</t>
  </si>
  <si>
    <t>Matisia cordata Bonpl.</t>
  </si>
  <si>
    <t>SAPOTE AMARILLO</t>
  </si>
  <si>
    <t>SAPOTE COLORADO</t>
  </si>
  <si>
    <t>SAPOTE MACHO</t>
  </si>
  <si>
    <t>SAPOTE ROJO</t>
  </si>
  <si>
    <t>SAPOTILLO</t>
  </si>
  <si>
    <t>Quararibea asterolepis Pittier</t>
  </si>
  <si>
    <t>SHAINA</t>
  </si>
  <si>
    <t>Colubrina glandulosa G.Perkins LC.</t>
  </si>
  <si>
    <t>SHIHUAHUACO</t>
  </si>
  <si>
    <t>Dipteryx charapilla (J.F. Macbr.) Ducke</t>
  </si>
  <si>
    <t>Dipteryx ferrea (Ducke) Ducke</t>
  </si>
  <si>
    <t>Dipteryx micrantha Harms</t>
  </si>
  <si>
    <t>Dipteryx odorata (Aubl.) Willd.</t>
  </si>
  <si>
    <t>SHIHUAHUACO HOJA GRANDE</t>
  </si>
  <si>
    <t>SHIHUAHUACO HOJA MENUDA</t>
  </si>
  <si>
    <t>SHIMBILLO</t>
  </si>
  <si>
    <t>Inga ruiziana G. Don</t>
  </si>
  <si>
    <t>Inga sertulifera DC.</t>
  </si>
  <si>
    <t>SHIMBILLO COLORADO</t>
  </si>
  <si>
    <t>SHIMBILLO ROJO</t>
  </si>
  <si>
    <t>Inga tessmannii Harms</t>
  </si>
  <si>
    <t>SHIRINGA</t>
  </si>
  <si>
    <t>Hevea brasiliensis (Willd. ex A. Juss.) Müll. Arg.</t>
  </si>
  <si>
    <t>Hevea guianensis Aubl.</t>
  </si>
  <si>
    <t>SHIRINGA MASHA</t>
  </si>
  <si>
    <t>SHIRINGARANA</t>
  </si>
  <si>
    <t>TACHO</t>
  </si>
  <si>
    <t>TACHO CRESPO</t>
  </si>
  <si>
    <t>TAHUARI</t>
  </si>
  <si>
    <t>Handroanthus capitatus (Bureau &amp; K. Schum.) Mattos</t>
  </si>
  <si>
    <t>Handroanthus incanus (A.H. Gentry) S.O. Grose</t>
  </si>
  <si>
    <t>Handroanthus obscurus (Bureau &amp; K. Schum.) Mattos</t>
  </si>
  <si>
    <t>Handroanthus serratifolius (Vahl) S.O. Grose</t>
  </si>
  <si>
    <t>TAHUARI NEGRO</t>
  </si>
  <si>
    <t>TANGARANA</t>
  </si>
  <si>
    <t>Tachigali paniculata Aubl.</t>
  </si>
  <si>
    <t>Tachigali schultesiana Dwyer</t>
  </si>
  <si>
    <t>Tachigalia poeppigiana Tul.</t>
  </si>
  <si>
    <t>Triplaris weigeltiana (Rchb.) Kuntze</t>
  </si>
  <si>
    <t>TANGARANA BLANCA</t>
  </si>
  <si>
    <t>Coccoloba densifrons Mart. ex Meisn.</t>
  </si>
  <si>
    <t>TANGARANA DE ALTURA</t>
  </si>
  <si>
    <t>Tachigali chrysophylla (Poepp.) Zarucchi &amp; Herend.</t>
  </si>
  <si>
    <t>TANGARANA NEGRA</t>
  </si>
  <si>
    <t>Ruprechtia tangarana Standl.</t>
  </si>
  <si>
    <t>Tachigali tessmannii Harms</t>
  </si>
  <si>
    <t>TECA</t>
  </si>
  <si>
    <t>Tectona grandis</t>
  </si>
  <si>
    <t>TOPA</t>
  </si>
  <si>
    <t>Ochroma pyramidale (Cav. ex Lam.) Urb.</t>
  </si>
  <si>
    <t>TORNILLO</t>
  </si>
  <si>
    <t>Cedrelinga cateniformis (Ducke) Ducke</t>
  </si>
  <si>
    <t>TULPAY</t>
  </si>
  <si>
    <t>TULPAY BLANCO</t>
  </si>
  <si>
    <t>UBOS</t>
  </si>
  <si>
    <t>UCSHAQUIRO</t>
  </si>
  <si>
    <t>Tachigali macbridei Zarucchi &amp; Herend.</t>
  </si>
  <si>
    <t>Tachigali melinonii (Harms) Zarucchi &amp; Herend.</t>
  </si>
  <si>
    <t>ULCUMANU</t>
  </si>
  <si>
    <t>Podocarpus oleifolius D. Don ex Lamb.</t>
  </si>
  <si>
    <t>Retrophyllum rospigliosii (Pilg.) C.N. Page</t>
  </si>
  <si>
    <t>URPA COCONILLA</t>
  </si>
  <si>
    <t>UTUCURO</t>
  </si>
  <si>
    <t>Septotheca tessmannii Ulbr.</t>
  </si>
  <si>
    <t>UVILLA</t>
  </si>
  <si>
    <t>Pourouma cecropiifolia Mart.</t>
  </si>
  <si>
    <t>Pourouma minor Benoist</t>
  </si>
  <si>
    <t>Pourouma tomentosa Mart. ex Miq.</t>
  </si>
  <si>
    <t>Pourouma tomentosa subsp. persecta Standl. ex C.C. Berg &amp; Heusden</t>
  </si>
  <si>
    <t>VIOLETA</t>
  </si>
  <si>
    <t>Peltogyne altissima Ducke</t>
  </si>
  <si>
    <t>YACUSHAPANA</t>
  </si>
  <si>
    <t>Terminalia dichotoma G. Mey.</t>
  </si>
  <si>
    <t>YACUSHAPANA NEGRA</t>
  </si>
  <si>
    <t>YANCHAMA</t>
  </si>
  <si>
    <t>YARAHUISCA</t>
  </si>
  <si>
    <t>YERNO EN PRUEBA</t>
  </si>
  <si>
    <t>YUTUBANCO</t>
  </si>
  <si>
    <t>Drypetes amazonica Steyerm.</t>
  </si>
  <si>
    <t>Heisteria nitida Engl.</t>
  </si>
  <si>
    <t>ZANCUDO CASPI</t>
  </si>
  <si>
    <t>Alchornea glandulosa (Spreng.) Müll. Arg.</t>
  </si>
  <si>
    <t>ZAPOTE</t>
  </si>
  <si>
    <t>ZAPOTILLO</t>
  </si>
  <si>
    <t>Colicodendron scabridum (Kunth) Seem.</t>
  </si>
  <si>
    <t>Principales especies de producción de madera rolliza (2024)</t>
  </si>
  <si>
    <t>Tabla 29. Producción de madera aserrada en el año 2024</t>
  </si>
  <si>
    <t>Producción de madera aserrada por departamento (2024)</t>
  </si>
  <si>
    <t>Tabla 30. Producción de madera aserrada por especie (2024)</t>
  </si>
  <si>
    <t>ACEITE CASPI</t>
  </si>
  <si>
    <t>Schefflera morototoni (Aubl.)</t>
  </si>
  <si>
    <t>ACHIGUA</t>
  </si>
  <si>
    <t>Sloanea brachytepala Ducke</t>
  </si>
  <si>
    <t>Vismia minutiflora Ewan</t>
  </si>
  <si>
    <t>AGUANO</t>
  </si>
  <si>
    <t>AICHA LUPUNA</t>
  </si>
  <si>
    <t>Chorisia integrifolia Ulbr.</t>
  </si>
  <si>
    <t>AJO AJO</t>
  </si>
  <si>
    <t>Cordia alliodora (Ruiz &amp; Pav.) Oken</t>
  </si>
  <si>
    <t>ALCANFOR AMARILLO</t>
  </si>
  <si>
    <t>Ocotea costulata (Nees) Mez</t>
  </si>
  <si>
    <t>Ampelocera edentula Kuhlm.</t>
  </si>
  <si>
    <t>Sloanea sinemariensis Aubl.</t>
  </si>
  <si>
    <t>ALGODON</t>
  </si>
  <si>
    <t>ALMENDRILLO</t>
  </si>
  <si>
    <t>Caryocar tessmannii Pilg.</t>
  </si>
  <si>
    <t>Glycydendron amazonicum Ducke</t>
  </si>
  <si>
    <t>ANDIROBA</t>
  </si>
  <si>
    <t>Carapa guianensis Aubl.</t>
  </si>
  <si>
    <t>Annona jucunda (Diels) H. Rainer</t>
  </si>
  <si>
    <t>ASARQUIRO</t>
  </si>
  <si>
    <t>Hedyosmum cuatrecazanum Occhioni</t>
  </si>
  <si>
    <t>ATADIJO</t>
  </si>
  <si>
    <t>ATOC CEDRO</t>
  </si>
  <si>
    <t>Cedrela angustifolia Sessé &amp; Moc. ex DC.</t>
  </si>
  <si>
    <t>BALSAMO</t>
  </si>
  <si>
    <t>BOLAQUIRO</t>
  </si>
  <si>
    <t>CABEZA DE MONO</t>
  </si>
  <si>
    <t>CACHIBO MISA</t>
  </si>
  <si>
    <t>Cariniana multiflora Ducke</t>
  </si>
  <si>
    <t>CAFE CON LECHE</t>
  </si>
  <si>
    <t>Chrysophyllum bombycinum T.D. Penn.</t>
  </si>
  <si>
    <t>Chrysophyllum oliviforme L.</t>
  </si>
  <si>
    <t>Pouteria neglecta Cronquist</t>
  </si>
  <si>
    <t>Chrysophyllum venezuelanense (Pierre) T.D. Penn.</t>
  </si>
  <si>
    <t>CAIMITO AMARILLO</t>
  </si>
  <si>
    <t>CAIMITO BLANCO</t>
  </si>
  <si>
    <t>CAPIRONA BLANCA</t>
  </si>
  <si>
    <t>CAPIRONA DEL BAJO</t>
  </si>
  <si>
    <t>CAPIU</t>
  </si>
  <si>
    <t>Guatteria citriodora Ducke</t>
  </si>
  <si>
    <t>CARAHUASCA HOJA MENUDA</t>
  </si>
  <si>
    <t>Dacryodes nitens Cuatrec.</t>
  </si>
  <si>
    <t>Protium carana Marchand</t>
  </si>
  <si>
    <t>Trattinnickia glaziovii Swart</t>
  </si>
  <si>
    <t>Trattinnickia lancifolia (Cuatrec.) Daly</t>
  </si>
  <si>
    <t>Eugenia riparia DC.</t>
  </si>
  <si>
    <t>CASHILLO</t>
  </si>
  <si>
    <t>CASTAÑA</t>
  </si>
  <si>
    <t>Scleronema praecox (Ducke) Ducke</t>
  </si>
  <si>
    <t>Erythroxylum catuaba da Silva ex Hamet</t>
  </si>
  <si>
    <t>Erythroxylum catuaba A.J.Silva.</t>
  </si>
  <si>
    <t>CATUABA NEGRA</t>
  </si>
  <si>
    <t>CAUCHO</t>
  </si>
  <si>
    <t>Huertea glandulosa Ruiz &amp; Pav.</t>
  </si>
  <si>
    <t>CEDRO PASHACO</t>
  </si>
  <si>
    <t>Cecropia sciadophylla Mart.</t>
  </si>
  <si>
    <t>Cinnamomum triplinerve (Ruiz &amp; Pav.) Kosterm.</t>
  </si>
  <si>
    <t>CHARAPILLA</t>
  </si>
  <si>
    <t>Taralea oppositifolia Aubl.</t>
  </si>
  <si>
    <t>Antodiscus sp.</t>
  </si>
  <si>
    <t>Pseudolmedia laevigata Trécul</t>
  </si>
  <si>
    <t>Perebea guianensis Aubl.</t>
  </si>
  <si>
    <t>Perebea rubra (Trécul) C.C. Berg</t>
  </si>
  <si>
    <t>Hymenolobium nitidum Benth.</t>
  </si>
  <si>
    <t>Qualea amoena Ducke</t>
  </si>
  <si>
    <t>CHONTAQUIRO NEGRO</t>
  </si>
  <si>
    <t>CHOROCASPI</t>
  </si>
  <si>
    <t>CHUNQUI</t>
  </si>
  <si>
    <t>Parkia panurensis Benth</t>
  </si>
  <si>
    <t>COL DE MONTE</t>
  </si>
  <si>
    <t>Copaifera officinalis (Jacq.) L.</t>
  </si>
  <si>
    <t>Protium copal (Schltdl. &amp; Cham.) Engl.</t>
  </si>
  <si>
    <t>COPAL CARAÑA</t>
  </si>
  <si>
    <t>COTRINA</t>
  </si>
  <si>
    <t>CUCHICARA</t>
  </si>
  <si>
    <t>Siparuna decipiens (Tul.) A. DC.</t>
  </si>
  <si>
    <t>Iryanthera ulei Warb</t>
  </si>
  <si>
    <t>Myristica cuspidata Spruce ex Benth.</t>
  </si>
  <si>
    <t>Virola parvifolia Ducke</t>
  </si>
  <si>
    <t>CUMALA CAOBILLA</t>
  </si>
  <si>
    <t>CUTANA PASHACO</t>
  </si>
  <si>
    <t>Prumnopitys harmsiana (Pilg.) de Laub.</t>
  </si>
  <si>
    <t>DURAZNILLO</t>
  </si>
  <si>
    <t>ESPINTANA</t>
  </si>
  <si>
    <t>Xylopia parviflora Spruce LC.</t>
  </si>
  <si>
    <t>FALSO PINO</t>
  </si>
  <si>
    <t>FANGO SACSA</t>
  </si>
  <si>
    <t>GOMA</t>
  </si>
  <si>
    <t>GOMA NEGRO</t>
  </si>
  <si>
    <t>GUABILLA</t>
  </si>
  <si>
    <t>Inga marginata Willd.</t>
  </si>
  <si>
    <t>Inga oerstediana Benth. ex Seem.</t>
  </si>
  <si>
    <t>Tachigali Aubl.</t>
  </si>
  <si>
    <t>Sprucea rubescens Benth.</t>
  </si>
  <si>
    <t>Sickingia tinctoria (Willd.) K. Schum.</t>
  </si>
  <si>
    <t>Ficus casapiensis (Miq.) Miq.</t>
  </si>
  <si>
    <t>HOJA FINA</t>
  </si>
  <si>
    <t>HUABA</t>
  </si>
  <si>
    <t>HUACAYCHA</t>
  </si>
  <si>
    <t>Sloanea eichleri K. Schum.</t>
  </si>
  <si>
    <t>HUANTUPA</t>
  </si>
  <si>
    <t>Miconia trinervia (Sw.) D. Don ex Loudon</t>
  </si>
  <si>
    <t>HUAYRA CASPI</t>
  </si>
  <si>
    <t>Ormosia discolor Spruce ex Benth.</t>
  </si>
  <si>
    <t>Andira surinamensis (Bondt) Splitg. ex Pulle</t>
  </si>
  <si>
    <t>Ceiba insignis (Kunth) P.E. Gibbs &amp; Semir</t>
  </si>
  <si>
    <t>Inga feuillei DC</t>
  </si>
  <si>
    <t>Tachigali amarumayu Huamantupa, H.C. Lima &amp; D.B.O.S. Cardoso</t>
  </si>
  <si>
    <t>Tachigali poeppigiana Tul</t>
  </si>
  <si>
    <t>Tachigali polyphylla Poepp. &amp; Endl.</t>
  </si>
  <si>
    <t>Vismia baccifera (L.) Triana &amp; Planch.</t>
  </si>
  <si>
    <t>Vismia macrophylla Kunth</t>
  </si>
  <si>
    <t>Abarema acreana (J.F. Macbr.) L. Rico</t>
  </si>
  <si>
    <t>Ilex sessiliflora Triana &amp; Planch.</t>
  </si>
  <si>
    <t>LAGARTO</t>
  </si>
  <si>
    <t>Aspidosperma polyneuron Müll. Arg.</t>
  </si>
  <si>
    <t>Calophyllum pubescens Vela Díaz</t>
  </si>
  <si>
    <t>LAGARTO PASHACO</t>
  </si>
  <si>
    <t>LAUREL</t>
  </si>
  <si>
    <t>Morella pubescens (Humb. &amp; Bonpl. ex Willd.) Wilbur</t>
  </si>
  <si>
    <t>Ximenia americana L.</t>
  </si>
  <si>
    <t>Zanthoxylum caribaeum Lam.</t>
  </si>
  <si>
    <t>Zanthoxylum eliasii D.M. Porter</t>
  </si>
  <si>
    <t>Zanthoxylum riedelianum Engl.</t>
  </si>
  <si>
    <t>LLANCHAMA</t>
  </si>
  <si>
    <t>Inga acrocephala Steud.</t>
  </si>
  <si>
    <t>Pseudobombax septenatum (Jacq.) Dugand</t>
  </si>
  <si>
    <t>LUPUNA COLORADA</t>
  </si>
  <si>
    <t>Cavanillesia umbellata Ruiz &amp; Pav.</t>
  </si>
  <si>
    <t>Couratari oligantha A.C. Sm.</t>
  </si>
  <si>
    <t>MALECON</t>
  </si>
  <si>
    <t>MANZANILLO</t>
  </si>
  <si>
    <t>Bellucia pentamera Naudin</t>
  </si>
  <si>
    <t>MANZANITO</t>
  </si>
  <si>
    <t>MARAÑON</t>
  </si>
  <si>
    <t>Anacardium occidentale L.</t>
  </si>
  <si>
    <t>Unonopsis matthewsii (Benth.) R.E. Fr.</t>
  </si>
  <si>
    <t>MARAÑON DE MONTE</t>
  </si>
  <si>
    <t>Anacardium parvifolium Ducke</t>
  </si>
  <si>
    <t>Ficus piresiana Vázq. Ávila &amp; C.C. Berg</t>
  </si>
  <si>
    <t>Ficus sphenophylla Standl</t>
  </si>
  <si>
    <t>Ficus hebetifolia Dugand</t>
  </si>
  <si>
    <t>MECHERO CASPI</t>
  </si>
  <si>
    <t>Sloanea terniflora (DC.) Standl.</t>
  </si>
  <si>
    <t>Couratari domestica Mart.</t>
  </si>
  <si>
    <t>Eschweilera bracteosa (Poepp. ex O. Berg) Miers</t>
  </si>
  <si>
    <t>MISA AMARILLA</t>
  </si>
  <si>
    <t>MISA BLANCA</t>
  </si>
  <si>
    <t>MISA SUAVE</t>
  </si>
  <si>
    <t>Aniba canelilla (Kunth) Mez</t>
  </si>
  <si>
    <t>Endlicheria griseosericea Chanderb.</t>
  </si>
  <si>
    <t>Nectandra acuminata (Nees &amp; C. Mart.) J.F. Macbr.</t>
  </si>
  <si>
    <t>Nectandra filiformis Raf.</t>
  </si>
  <si>
    <t>Ocotea cuprea (Meisn.) Mez</t>
  </si>
  <si>
    <t>Ocotea guianensis Aubl.</t>
  </si>
  <si>
    <t>MOENA ACEITUNA</t>
  </si>
  <si>
    <t>MOENA TINCHI</t>
  </si>
  <si>
    <t>MONTE CACAO</t>
  </si>
  <si>
    <t>Juglans regia L.</t>
  </si>
  <si>
    <t>NOGALILLO</t>
  </si>
  <si>
    <t>Sterculia guapayensis Cuatrec.</t>
  </si>
  <si>
    <t>Ficus citrifolia Mill.</t>
  </si>
  <si>
    <t>Ficus gomelleira Kunth &amp; C.D. Bouché</t>
  </si>
  <si>
    <t>PACA PACAE</t>
  </si>
  <si>
    <t>Inga ingoides (Rich.) Willd.</t>
  </si>
  <si>
    <t>PACAE PACAE</t>
  </si>
  <si>
    <t>Dialium indum L.</t>
  </si>
  <si>
    <t>PALO AGUA</t>
  </si>
  <si>
    <t>Lunania parviflora Spruce ex Benth.</t>
  </si>
  <si>
    <t>PALO ALETON</t>
  </si>
  <si>
    <t>PALO ALGODON</t>
  </si>
  <si>
    <t>Prunus littlei Pérez Zab.</t>
  </si>
  <si>
    <t>PALO BALSA</t>
  </si>
  <si>
    <t>PALO BLANCO</t>
  </si>
  <si>
    <t>Alseis peruviana Standl.</t>
  </si>
  <si>
    <t>PALO BLANCO AMARILLO</t>
  </si>
  <si>
    <t>PALO BLANCO CONGONA</t>
  </si>
  <si>
    <t>Sacoglottis amazonica Mart.</t>
  </si>
  <si>
    <t>PALO COL</t>
  </si>
  <si>
    <t>PALO MIERDA</t>
  </si>
  <si>
    <t>Weinmannia pubescens Kunth</t>
  </si>
  <si>
    <t>Swartzia gracilis Pipoly</t>
  </si>
  <si>
    <t>PALO SANTO NEGRO</t>
  </si>
  <si>
    <t>Pseudolmedia macrophylla Trécul</t>
  </si>
  <si>
    <t>PANCHO</t>
  </si>
  <si>
    <t>Luehea cymulosa Spruce ex Benth.</t>
  </si>
  <si>
    <t>Trema micrantha (L.) Blume</t>
  </si>
  <si>
    <t>PANGASINA</t>
  </si>
  <si>
    <t>PAONIN</t>
  </si>
  <si>
    <t>Dimorphandra macrostachya Benth.</t>
  </si>
  <si>
    <t>Enterolobium cyclocarpum (Jacq.) Griseb.</t>
  </si>
  <si>
    <t>Piptadenia robusta Pittier</t>
  </si>
  <si>
    <t>Senegalia rhytidocarpa (L. Rico) Seigler &amp; Ebinger</t>
  </si>
  <si>
    <t>PASHACO AMARILLO</t>
  </si>
  <si>
    <t>Machaerium acutifolium Vogel</t>
  </si>
  <si>
    <t>PASHACO DE OREJA NEGRO</t>
  </si>
  <si>
    <t>Enterolobium barnebianum Mesquita &amp; M.F. Silva</t>
  </si>
  <si>
    <t>PASHACO ESPINGUILLO</t>
  </si>
  <si>
    <t>PASHACO PARAGUA</t>
  </si>
  <si>
    <t>PASHACO YERNO EN PRUEBA</t>
  </si>
  <si>
    <t>PAUCAR CASPI</t>
  </si>
  <si>
    <t>PAYAN</t>
  </si>
  <si>
    <t>PEINE DE MONO</t>
  </si>
  <si>
    <t>Apeiba membranacea Spruce ex Benth.</t>
  </si>
  <si>
    <t>PHISONAY</t>
  </si>
  <si>
    <t>PIÑA QUIRO</t>
  </si>
  <si>
    <t>Astronium lecointei Ducke</t>
  </si>
  <si>
    <t>Erythrina edulis Triana ex Micheli</t>
  </si>
  <si>
    <t>Aspidosperma vargasii A. DC.</t>
  </si>
  <si>
    <t>Pouteria condorensis T.D. Penn.</t>
  </si>
  <si>
    <t>Pouteria procera (Mart.) T. D. Penn.</t>
  </si>
  <si>
    <t>REMO CASPI</t>
  </si>
  <si>
    <t>Aspidosperma rigidum Rusby</t>
  </si>
  <si>
    <t>Ficus guianensis Desv. ex Ham.</t>
  </si>
  <si>
    <t>Ficus schultesii Dugand.</t>
  </si>
  <si>
    <t>Guarea trichilioides L.</t>
  </si>
  <si>
    <t>Guarea velutina A. Juss.</t>
  </si>
  <si>
    <t>Trichilia quadrijuga Kunth</t>
  </si>
  <si>
    <t>Miconia pilgeriana Ule.</t>
  </si>
  <si>
    <t>Miconia punctata (Desr.) D. Don ex DC</t>
  </si>
  <si>
    <t>RIÑON DE HUANGANA</t>
  </si>
  <si>
    <t>ROBLE COLORADO</t>
  </si>
  <si>
    <t>ROMERILLO</t>
  </si>
  <si>
    <t>Podocarpus cardenasii J. Buchholz &amp; N.E. Gray</t>
  </si>
  <si>
    <t>ROMERILLO ROJO</t>
  </si>
  <si>
    <t>SACSA</t>
  </si>
  <si>
    <t>SACSA CUMALA</t>
  </si>
  <si>
    <t>SACSA CUTI</t>
  </si>
  <si>
    <t>SALINAS</t>
  </si>
  <si>
    <t>SANGRE GRADO</t>
  </si>
  <si>
    <t>SAPOTE BLANCO</t>
  </si>
  <si>
    <t>Manilkara sapota (L.) Van Royen</t>
  </si>
  <si>
    <t>Matisia ochrocalyx K. Schum.</t>
  </si>
  <si>
    <t>Phragmotheca amazonica (W.S. Alverson)Fern. Alonso</t>
  </si>
  <si>
    <t>SEICA</t>
  </si>
  <si>
    <t>SEMPO</t>
  </si>
  <si>
    <t>Virola multinervia Ducke Myristicaceae</t>
  </si>
  <si>
    <t>SEMPO AMARILLO</t>
  </si>
  <si>
    <t>SEMPO ROJO</t>
  </si>
  <si>
    <t>Inga brachyrhachis Harms</t>
  </si>
  <si>
    <t>Inga edulis Mart</t>
  </si>
  <si>
    <t>Inga pendula Willd.</t>
  </si>
  <si>
    <t>SIOGUE</t>
  </si>
  <si>
    <t>Symplocos nuda Bonpl.</t>
  </si>
  <si>
    <t>SIWIS</t>
  </si>
  <si>
    <t>Handroanthus chrysanthus (Jacq.) S.O. Grose</t>
  </si>
  <si>
    <t>Tabebuia capitata (Bureau &amp; K. Schum.) Sandwith</t>
  </si>
  <si>
    <t>Tabebuia serratifolia (Vahl) G. Nicholson</t>
  </si>
  <si>
    <t>TAHUARI AMARILLO</t>
  </si>
  <si>
    <t>TAMARINDO</t>
  </si>
  <si>
    <t>Tamarindus indica L.</t>
  </si>
  <si>
    <t>TANAHUANA</t>
  </si>
  <si>
    <t>Tachigali bracteosa (Harms) Zarucchi &amp; Pipoly</t>
  </si>
  <si>
    <t>Tachigali inconspicua van der Werff</t>
  </si>
  <si>
    <t>Tectona grandis L. f.</t>
  </si>
  <si>
    <t>TINCHI MOENA</t>
  </si>
  <si>
    <t>UBILLA</t>
  </si>
  <si>
    <t>Pourouma guianensis Aubl.</t>
  </si>
  <si>
    <t>Spondias venosa Mart. ex Colla</t>
  </si>
  <si>
    <t>UCHUMULLACA</t>
  </si>
  <si>
    <t>UNCA</t>
  </si>
  <si>
    <t>Myrcianthes oreophila (Diels) McVaugh</t>
  </si>
  <si>
    <t>Witheringia solanacea L'Hér.</t>
  </si>
  <si>
    <t>UVA MOENA</t>
  </si>
  <si>
    <t>YACUSHAPAÑA</t>
  </si>
  <si>
    <t>YANAY</t>
  </si>
  <si>
    <t>Sorocea guilleminiana Gaudich.</t>
  </si>
  <si>
    <t>Chimarrhis gentryana Delprete.</t>
  </si>
  <si>
    <t>YESCA CASPI</t>
  </si>
  <si>
    <t>Alchornea triplinervia (Spreng.) Müll. Arg.</t>
  </si>
  <si>
    <t>Sterculia speciosa K. Schum.</t>
  </si>
  <si>
    <t>TOTAL GENERAL</t>
  </si>
  <si>
    <t>Principales especies de producción de madera aserrada (2024)</t>
  </si>
  <si>
    <t>Tabla 31. Producción de durmientes en el año 2024</t>
  </si>
  <si>
    <t xml:space="preserve"> Volumen (m3)</t>
  </si>
  <si>
    <t>Tabla 32. Producción de parquet en el año 2024</t>
  </si>
  <si>
    <t>Principales especies de producción de parquet (2024)</t>
  </si>
  <si>
    <t>Tabla 33. Producción de madera laminada y chapas decorativas en el año 2024</t>
  </si>
  <si>
    <t>Producción de madera laminada y chapas decorativas por departamento (2024)</t>
  </si>
  <si>
    <t xml:space="preserve">Tabla 34. Producción de leña basada en el consumo por departamento </t>
  </si>
  <si>
    <t>Tabla 35. Producción de carbón vegetal en el año 2024</t>
  </si>
  <si>
    <t>Total AMAZONAS</t>
  </si>
  <si>
    <t>CASUARINA</t>
  </si>
  <si>
    <t>Casuarina cunninghamiana Miq.</t>
  </si>
  <si>
    <t>Casuarina equisetifolia L.</t>
  </si>
  <si>
    <t>HUARANGO</t>
  </si>
  <si>
    <t>MOLLE</t>
  </si>
  <si>
    <t>Schinus molle L.</t>
  </si>
  <si>
    <t>OLIVO</t>
  </si>
  <si>
    <t>Olea europaea L.</t>
  </si>
  <si>
    <t>PALTA</t>
  </si>
  <si>
    <t>Persea americana Mill</t>
  </si>
  <si>
    <t>Persea americana Mill.</t>
  </si>
  <si>
    <t>SAUCE</t>
  </si>
  <si>
    <t>Salix humboldtiana Willd.</t>
  </si>
  <si>
    <t>UVA</t>
  </si>
  <si>
    <t>Vitis vinifera L.</t>
  </si>
  <si>
    <t>Total AREQUIPA</t>
  </si>
  <si>
    <t>VARIAS</t>
  </si>
  <si>
    <t>Total HUANUCO</t>
  </si>
  <si>
    <t>Total LA LIBERTAD</t>
  </si>
  <si>
    <t>Total LAMBAYEQUE</t>
  </si>
  <si>
    <t>Total MADRE DE DIOS</t>
  </si>
  <si>
    <t>Total MOQUEGUA</t>
  </si>
  <si>
    <t>ALGARROBO</t>
  </si>
  <si>
    <t>Prosopis pallida (Humb. &amp; Bonpl. ex Willd.) Kunth</t>
  </si>
  <si>
    <t>MAMEY</t>
  </si>
  <si>
    <t>Mammea americana L.</t>
  </si>
  <si>
    <t>Total PIURA</t>
  </si>
  <si>
    <t>Total SAN MARTIN</t>
  </si>
  <si>
    <t>Total TACNA</t>
  </si>
  <si>
    <t>Total UCAYALI</t>
  </si>
  <si>
    <t>Tabla 36. Producción de productos forestales diferentes a la madera por departamento (2024)</t>
  </si>
  <si>
    <t>CAÑA BRAVA</t>
  </si>
  <si>
    <t>Gynerium sagittatum (Aubl.) P. Beauv.</t>
  </si>
  <si>
    <t>UNIDAD</t>
  </si>
  <si>
    <t>CAÑA GUAYAQUIL</t>
  </si>
  <si>
    <t>Guadua angustifolia Kunth</t>
  </si>
  <si>
    <t>TARA EN POLVO</t>
  </si>
  <si>
    <t>TARA</t>
  </si>
  <si>
    <t>Caesalpinia spinosa (Feuillée ex Molina) Kuntze</t>
  </si>
  <si>
    <t>KG</t>
  </si>
  <si>
    <t>TARA EN VAINA</t>
  </si>
  <si>
    <t>CARRIZO</t>
  </si>
  <si>
    <t>Arundo donax L.</t>
  </si>
  <si>
    <t>ESTERA</t>
  </si>
  <si>
    <t>PRODUCTOS DE USO MEDICINAL</t>
  </si>
  <si>
    <t>FLOR BLANCA</t>
  </si>
  <si>
    <t>Iresine weberbaueri Suess.</t>
  </si>
  <si>
    <t>CUNUJA</t>
  </si>
  <si>
    <t>Diplostephium cinereum Cuatrec.</t>
  </si>
  <si>
    <t>FRUTOS</t>
  </si>
  <si>
    <t>SANCAYO</t>
  </si>
  <si>
    <t>Corryocactus brevistylus (K. Schum. ex Vaupel) Britton &amp; Rose</t>
  </si>
  <si>
    <t>ANGUARATE</t>
  </si>
  <si>
    <t>Mentzelia cordifolia Dombey ex Urb. &amp; Gilg.</t>
  </si>
  <si>
    <t>TOLA</t>
  </si>
  <si>
    <t>Lepidophyllum quadrangulare (Meyen) Gray</t>
  </si>
  <si>
    <t>Parastrephia lepidophylla (Wedd.) Cabrera</t>
  </si>
  <si>
    <t>BARBASCO</t>
  </si>
  <si>
    <t>Lonchocarpus nicou (Aubl) DC</t>
  </si>
  <si>
    <t>HOJAS DE PALMERA</t>
  </si>
  <si>
    <t>PALMERA</t>
  </si>
  <si>
    <t>Attalea phalerata Mart. ex Spreng.</t>
  </si>
  <si>
    <t>SEMILLA</t>
  </si>
  <si>
    <t>Schinus molle L.</t>
  </si>
  <si>
    <t>Caesalpinia spinosa (FeuillEe ex Molina) Kuntze</t>
  </si>
  <si>
    <t>LANCHE</t>
  </si>
  <si>
    <t>Eugenia uniflora L.</t>
  </si>
  <si>
    <t>RUMILANCHE</t>
  </si>
  <si>
    <t>Myrcianthes myrsinoides (Kunth) Grifo</t>
  </si>
  <si>
    <t>TOMILLO</t>
  </si>
  <si>
    <t>Thymus vulgaris L.</t>
  </si>
  <si>
    <t>TRINIDAD</t>
  </si>
  <si>
    <t>Mauria heterophylla Kunth.</t>
  </si>
  <si>
    <t>VALERIANA</t>
  </si>
  <si>
    <t>Valeriana pilosa Ruiz &amp; Pav.</t>
  </si>
  <si>
    <t>TARA EN PEPA</t>
  </si>
  <si>
    <t>PACA</t>
  </si>
  <si>
    <t>Guadua sarcocarpa Londoño &amp; P.M. Peterson</t>
  </si>
  <si>
    <t>CAÑA DE BAMBU</t>
  </si>
  <si>
    <t>BAMBU</t>
  </si>
  <si>
    <t>Dendrocalamus asper (Schult. &amp; Schult. f.) Backer ex K. Heyne</t>
  </si>
  <si>
    <t>MUSGO</t>
  </si>
  <si>
    <t>MUSGO BLANCO</t>
  </si>
  <si>
    <t>Sphagnum magellanicum Brid.</t>
  </si>
  <si>
    <t>ANIS</t>
  </si>
  <si>
    <t>Tagetes pusilla Kunth</t>
  </si>
  <si>
    <t>BERRO</t>
  </si>
  <si>
    <t>CALAHUALA</t>
  </si>
  <si>
    <t>Campyloneurum amphostenon (Kunze ex Klotzsch) Fée</t>
  </si>
  <si>
    <t>CANCHALAGUA</t>
  </si>
  <si>
    <t>Schkuhria pinnata (Lam.) Kuntze ex Thell.</t>
  </si>
  <si>
    <t>COLA DE CABALLO</t>
  </si>
  <si>
    <t>Equisetum arvense L.</t>
  </si>
  <si>
    <t>Equisetum giganteum L.</t>
  </si>
  <si>
    <t>CULEN</t>
  </si>
  <si>
    <t>Psoralea glandulosa L.</t>
  </si>
  <si>
    <t>CUTI CUTI</t>
  </si>
  <si>
    <t>Notholaena nivea (Poir.) Desv.</t>
  </si>
  <si>
    <t>DIENTE DE LEON</t>
  </si>
  <si>
    <t>Taraxacum officinale Weber ex F.H.Wigg.</t>
  </si>
  <si>
    <t>FLOR DE ARENA</t>
  </si>
  <si>
    <t>Tiquilia paronychioides (Phil.) AT Richardson</t>
  </si>
  <si>
    <t>HERCAMPURI</t>
  </si>
  <si>
    <t>HIERBA LUISA</t>
  </si>
  <si>
    <t>Cymbopogon citratus (DC) Stapf</t>
  </si>
  <si>
    <t>HUAMANPINTA</t>
  </si>
  <si>
    <t>Chuquiraga rotundifolia Wedd.</t>
  </si>
  <si>
    <t>HUANARPO</t>
  </si>
  <si>
    <t>Jatropha macrantha Müll Arg.</t>
  </si>
  <si>
    <t>MANAYUPA</t>
  </si>
  <si>
    <t>Desmodium molliculum (Kunth) DC.</t>
  </si>
  <si>
    <t>MANZANILLA</t>
  </si>
  <si>
    <t>Matricaria chamomilla L.</t>
  </si>
  <si>
    <t>MARCO</t>
  </si>
  <si>
    <t>Ambrosia peruviana Willd.</t>
  </si>
  <si>
    <t>MATICO</t>
  </si>
  <si>
    <t>Piper aduncum L.</t>
  </si>
  <si>
    <t>MENTA</t>
  </si>
  <si>
    <t>Mentha piperita L.</t>
  </si>
  <si>
    <t>MUÑA</t>
  </si>
  <si>
    <t>Minthostachys setosa (Briq.) Epling</t>
  </si>
  <si>
    <t>ORTIGA</t>
  </si>
  <si>
    <t>Urtica urens L.</t>
  </si>
  <si>
    <t>PASUCHACA</t>
  </si>
  <si>
    <t>Geranium dielsianum R.Knuth.</t>
  </si>
  <si>
    <t>PULMONARIA</t>
  </si>
  <si>
    <t>Pulmonaria affinis Jord.</t>
  </si>
  <si>
    <t>PURUN ROSA</t>
  </si>
  <si>
    <t>Bejaria resinosa Mutis ex L.fil.</t>
  </si>
  <si>
    <t>RATANIA</t>
  </si>
  <si>
    <t>Krameria lappacea; (Dombey) Burdet &amp; B.B.Simpson</t>
  </si>
  <si>
    <t>ROMERO</t>
  </si>
  <si>
    <t>Columellia obovata Ruiz &amp; Pav.</t>
  </si>
  <si>
    <t>TRES ESQUINAS</t>
  </si>
  <si>
    <t>Baccharis sagittalis (Less.) DC.</t>
  </si>
  <si>
    <t>Valeriana officinalis L.</t>
  </si>
  <si>
    <t>WIRA WIRA</t>
  </si>
  <si>
    <t>Tussilago farfara L.</t>
  </si>
  <si>
    <t>LUCRACO</t>
  </si>
  <si>
    <t>Waltheria ovata Cav.</t>
  </si>
  <si>
    <t>Arundinaria alpina K.Schum.</t>
  </si>
  <si>
    <t>Phyllostachys aurea (André) Rivière &amp; C.Rivière.</t>
  </si>
  <si>
    <t>Phyllanthus niruri L.</t>
  </si>
  <si>
    <t>Phyllanthus urinaria L.</t>
  </si>
  <si>
    <t>UÑA DE GATO</t>
  </si>
  <si>
    <t>Uncaria tomentosa (Wild.) DC.</t>
  </si>
  <si>
    <t>CARRICILLO</t>
  </si>
  <si>
    <t>Phragmites australis (Cav.) Trin. ex Steud.</t>
  </si>
  <si>
    <t>INEA</t>
  </si>
  <si>
    <t>Typha angustifolia L.</t>
  </si>
  <si>
    <t>FIBRA</t>
  </si>
  <si>
    <t>CHAMBIRA</t>
  </si>
  <si>
    <t>Astrocaryum chambira Burret</t>
  </si>
  <si>
    <t>AGUAJE</t>
  </si>
  <si>
    <t>Mauritia flexuosa L. f.</t>
  </si>
  <si>
    <t>HOJAS</t>
  </si>
  <si>
    <t>PALO ROSA</t>
  </si>
  <si>
    <t>Aniba rosiodora Ducke</t>
  </si>
  <si>
    <t>LATEX</t>
  </si>
  <si>
    <t>ABUTA</t>
  </si>
  <si>
    <t>Abuta grandifolia (Mart.) Sandwith</t>
  </si>
  <si>
    <t>AJOS SACHA</t>
  </si>
  <si>
    <t>Mansoa alliacea (Lam.) A.H. Gentry</t>
  </si>
  <si>
    <t>AYAHUASCA</t>
  </si>
  <si>
    <t>Banisteriopsis caapi (Spruce ex Griseb.) C.V. Morton</t>
  </si>
  <si>
    <t>BOBINSANA</t>
  </si>
  <si>
    <t>Calliandra angustifolia Spruce ex Benth.</t>
  </si>
  <si>
    <t>Polypodium aureum L.</t>
  </si>
  <si>
    <t>Cecropia palmata Willd.</t>
  </si>
  <si>
    <t>CHACRUNA</t>
  </si>
  <si>
    <t>Psychotria viridis Ruiz &amp; Pav.</t>
  </si>
  <si>
    <t>CHIRIC SANANGO</t>
  </si>
  <si>
    <t>Brunfelsia grandiflora D. Don</t>
  </si>
  <si>
    <t>CLAVO HUASCA</t>
  </si>
  <si>
    <t>Mandevilla scabra (Hoffm. ex Roem. &amp; Schult.) Schum.</t>
  </si>
  <si>
    <t>COTO CHUPA</t>
  </si>
  <si>
    <t>Polypodium decumanum Willd.</t>
  </si>
  <si>
    <t>GUACATONGA</t>
  </si>
  <si>
    <t>Casearia sylvestris Sw.</t>
  </si>
  <si>
    <t>Minquartia guianensis Aubl.</t>
  </si>
  <si>
    <t>HUAMBISA</t>
  </si>
  <si>
    <t>Diplopterys cabrerana (Cuatrec.) B. Gates</t>
  </si>
  <si>
    <t>IPORURO</t>
  </si>
  <si>
    <t>Alchornea castaneifolia (Bonpl. ex Willd.) A.Juss.</t>
  </si>
  <si>
    <t>JERGON SACHA</t>
  </si>
  <si>
    <t>Dracontium loretense K.Krause</t>
  </si>
  <si>
    <t>MUCURA</t>
  </si>
  <si>
    <t>Petiveria alliacea L.</t>
  </si>
  <si>
    <t>MULLACA</t>
  </si>
  <si>
    <t>Physalis angulata L.</t>
  </si>
  <si>
    <t>MULUNGU</t>
  </si>
  <si>
    <t>Erythrina mulungu Mart.</t>
  </si>
  <si>
    <t>ÑUCCHO PICHANO</t>
  </si>
  <si>
    <t>Scoparia dulcis L.</t>
  </si>
  <si>
    <t>Aspidosperma excelsum Benth.</t>
  </si>
  <si>
    <t>RETAMILLA</t>
  </si>
  <si>
    <t>Cassia occidentalis L.</t>
  </si>
  <si>
    <t>SACHA GUACO</t>
  </si>
  <si>
    <t>Mikania hirsutissima DC.</t>
  </si>
  <si>
    <t>SACHA GUANABANA</t>
  </si>
  <si>
    <t>Annona montana Macfad. LC.</t>
  </si>
  <si>
    <t>SACHA VERBENA</t>
  </si>
  <si>
    <t>Stachytarpheta cayennensis (Rich.) Vahl</t>
  </si>
  <si>
    <t>SARZA PARRILLA</t>
  </si>
  <si>
    <t>Smilax officinalis Kunth.</t>
  </si>
  <si>
    <t>SHACAPA</t>
  </si>
  <si>
    <t>Thevetia neriifolia Juss. ex Steud.</t>
  </si>
  <si>
    <t>TAHUARI (corteza)</t>
  </si>
  <si>
    <t>TAMAMURI</t>
  </si>
  <si>
    <t>Brosimum acutifolium Huber</t>
  </si>
  <si>
    <t>UCHU SANANGO</t>
  </si>
  <si>
    <t>Bonafousia sananho (Ruiz &amp; Pav.) Markgr.</t>
  </si>
  <si>
    <t>RESINA</t>
  </si>
  <si>
    <t>Bursera copallifera (DC.) Bullock</t>
  </si>
  <si>
    <t>PIJUAYO</t>
  </si>
  <si>
    <t>Bactris gasipaes H.B.K.</t>
  </si>
  <si>
    <t>VACA NAHUI</t>
  </si>
  <si>
    <t>CASTAÑA CON CASCARA</t>
  </si>
  <si>
    <t>Bertholletia excelsa Bonpl.</t>
  </si>
  <si>
    <t>CASTAÑA PELADA</t>
  </si>
  <si>
    <t>HUICUNGO CON CASCARA</t>
  </si>
  <si>
    <t>HUICUNGO</t>
  </si>
  <si>
    <t>Astrocaryum murumuru Mart.</t>
  </si>
  <si>
    <t>HUICUNGO PELADO</t>
  </si>
  <si>
    <t>Minthostachys mollis (Kunth) Griseb</t>
  </si>
  <si>
    <t>ALGARROBA EN VAINA</t>
  </si>
  <si>
    <t>SAHUMERIO</t>
  </si>
  <si>
    <t>PUNO</t>
  </si>
  <si>
    <t>Parastrephia lepidophylla</t>
  </si>
  <si>
    <t>Bambusa arundinacea (Retz.) Willd.</t>
  </si>
  <si>
    <t>Bambusa tuldoides</t>
  </si>
  <si>
    <t>ACEITE</t>
  </si>
  <si>
    <t>CHUCHUHUASI</t>
  </si>
  <si>
    <t>Heisteria pallida Engl.</t>
  </si>
  <si>
    <t>Tabla 37. Producción de productos forestales diferentes en el año 2024, por producto</t>
  </si>
  <si>
    <t>BOLAINA NEGRA (corteza)</t>
  </si>
  <si>
    <t>CHUCHUHUASI (corteza)</t>
  </si>
  <si>
    <t>Superficie y número de DEMA aprobadas para la custodia y usufructo de vicuñas (2024)</t>
  </si>
  <si>
    <t>TIPO DE DOCUMENTO DE GESTION</t>
  </si>
  <si>
    <t>PROVINCIA</t>
  </si>
  <si>
    <t>DISTRITO</t>
  </si>
  <si>
    <t>N° DEMA/
PLAN DE MANEJO</t>
  </si>
  <si>
    <t>SUPERFICIE (HA)</t>
  </si>
  <si>
    <t>CANTIDAD DE VICUÑAS DECLARADAS</t>
  </si>
  <si>
    <t>PLAN DE MANEJO</t>
  </si>
  <si>
    <t>SAN JUAN DE TARUCANI</t>
  </si>
  <si>
    <t>YANAHUARA</t>
  </si>
  <si>
    <t>CAYLLOMA</t>
  </si>
  <si>
    <t>SAN ANTONIO DE CHUCA</t>
  </si>
  <si>
    <t>YANQUE</t>
  </si>
  <si>
    <t>ASUNCION, JESUS</t>
  </si>
  <si>
    <t>GENERAL SANCHEZ CERRO</t>
  </si>
  <si>
    <t>UBINAS</t>
  </si>
  <si>
    <t>DECLARACION DE MANEJO</t>
  </si>
  <si>
    <t>ANDAHUAYLAS</t>
  </si>
  <si>
    <t>PAMPACHIRI</t>
  </si>
  <si>
    <t>AYMARAES</t>
  </si>
  <si>
    <t>COTARUSE</t>
  </si>
  <si>
    <t>POCOHUANCA</t>
  </si>
  <si>
    <t>GRAU</t>
  </si>
  <si>
    <t>CHUQUIBAMBILLA</t>
  </si>
  <si>
    <t>CURPAHUASI</t>
  </si>
  <si>
    <t>CASTILLA</t>
  </si>
  <si>
    <t>CHOCOS</t>
  </si>
  <si>
    <t>TAPAY</t>
  </si>
  <si>
    <t>CONDESUYOS</t>
  </si>
  <si>
    <t>CAYARANI</t>
  </si>
  <si>
    <t>LUCANAS</t>
  </si>
  <si>
    <t>LEONCIO PRADO</t>
  </si>
  <si>
    <t>OCAÑA</t>
  </si>
  <si>
    <t>PUQUIO</t>
  </si>
  <si>
    <t>PARINACOCHAS</t>
  </si>
  <si>
    <t>CORONEL CASTAÑEDA</t>
  </si>
  <si>
    <t>CHUMBIVILCAS</t>
  </si>
  <si>
    <t>SANTO TOMAS</t>
  </si>
  <si>
    <t>ESPINAR</t>
  </si>
  <si>
    <t>CONDOROMA</t>
  </si>
  <si>
    <t>ICHUÑA</t>
  </si>
  <si>
    <t>LAMPA</t>
  </si>
  <si>
    <t>OCUVIRI</t>
  </si>
  <si>
    <t>PARATIA</t>
  </si>
  <si>
    <t>SANTA LUCIA</t>
  </si>
  <si>
    <t>ACORA</t>
  </si>
  <si>
    <t>SAN ANTONIO DE PUTINA</t>
  </si>
  <si>
    <t>ANANEA</t>
  </si>
  <si>
    <t>QUILCAPUNCU</t>
  </si>
  <si>
    <t xml:space="preserve">TOTAL </t>
  </si>
  <si>
    <t>Tabla 38. DEMA de camélidos sudamericanos silvestres (vicuñas) aprobadas en el año 2024</t>
  </si>
  <si>
    <t>Tabla 39. Titulares de DEMA de camélidos sudamericanos silvestres (vicuñas) aprobadas en el año 2024</t>
  </si>
  <si>
    <t>Tabla 40. Operativos de captura y esquila de vicuñas vivas, campaña 2024</t>
  </si>
  <si>
    <t>Fuente: Gobiernos regionales</t>
  </si>
  <si>
    <t>Tabla 41. Titulares de manejo según rango de fibra de vicuña obtenida, campaña 2024</t>
  </si>
  <si>
    <t xml:space="preserve"> N° Operativos (chaccus)</t>
  </si>
  <si>
    <t>Tabla 42. Operativos de captura y esquila de vicuñas vivas por tipo de titular, campaña 2024</t>
  </si>
  <si>
    <t>Tabla 43. Fibra de vicuña esquilada obtenida por tipo de manejo, campaña 2024</t>
  </si>
  <si>
    <t>COMUNIDAD CAMPESINA DE ORCOPAMPA</t>
  </si>
  <si>
    <t>ASOCIACION DE PROTECCION Y MANEJO DE VICUÑA TOLCONI "ASOCIACION APROMAVIT"</t>
  </si>
  <si>
    <t>ASOCIACION DE CAMELIDOS SILVESTRES DE LARI - ORIGEN RIO AMAZONAS</t>
  </si>
  <si>
    <t>ASOCIACION DE MANEJO Y PROTECCION DE CAMELIDOS SUDAMERICANOS TALTA CHILA CHILA</t>
  </si>
  <si>
    <t>COMUNIDAD CAMPESINA DE HUAYTARA</t>
  </si>
  <si>
    <t>ASOCIACION CONSERVACIONISTA DE VICUÑAS DE TOLCONI "ASOCIACION - ASCOVI"</t>
  </si>
  <si>
    <t>ASOCIACION DE CRIADORES DE CAMELIDOS SILVESTRES Y DOMESTICOS (ACRISIDO)</t>
  </si>
  <si>
    <t>ASOCIACION DE PROTECCION REPOBLAMIENTO Y MANEJO DE VICUÑAS HUAYTAPALCA TOLCONI - "ASOCIACION HUAYTAPALCA"</t>
  </si>
  <si>
    <t>COMUNIDAD CAMPESINA DE URUIZA</t>
  </si>
  <si>
    <t>COMUNIDAD CAMPESINA DE SAN CRISTOBAL</t>
  </si>
  <si>
    <t>Tabla 44. Titulares de manejo con mayor cantidad de fibra esquilada, campaña 2024</t>
  </si>
  <si>
    <t>Operativos realizados y fibra esquilada, por departamento (campaña 2024)</t>
  </si>
  <si>
    <t>Peso promedio del vellón, por departamento (campaña 2024)</t>
  </si>
  <si>
    <t>Tabla 45. Incidentes de caza furtiva reportados en el año 2024</t>
  </si>
  <si>
    <t>N° incidentes reportados</t>
  </si>
  <si>
    <t>Incidencia de caza furtiva (2013 – 2024)</t>
  </si>
  <si>
    <t>Tabla 46. Exportación de productos forestales maderables por producto y valor FOB ($), 2024</t>
  </si>
  <si>
    <t>Tabla 47. Exportación de productos forestales maderables por partida y valor FOB ($), 2024</t>
  </si>
  <si>
    <t>De ipé (cañahuate, ébano verde, lapacho, polvillo, roble morado, tahuari negro, tajibo) (tabebuia spp.)</t>
  </si>
  <si>
    <t>Las demás, que tengan por lo menos, una hoja externa de madera distinta de la de coníferas, de las especies: aliso (alnus spp.), fresno (fraxinus spp.), haya (fagus spp.), abedul (betula spp.), cerezo (prunus spp.), castaño (castanea spp.), olmo (ulmus spp.), eucalipto (eucalyptus spp.), caria o pacana (carya spp.), tilo (tilia spp.), arce (hacer spp.), roble (quercus spp.), plátano (platanus spp.), álamo (populus spp.), algarrobo negro (robinia spp.), árbol de tulipán (liriodendron spp.) o nogal (juglans spp.)</t>
  </si>
  <si>
    <t>Total general</t>
  </si>
  <si>
    <t>Tabla 48. Importación de productos forestales maderables por producto y valor CIF ($), 2024</t>
  </si>
  <si>
    <t>Tabla 49. Importación de productos forestales maderables por partida arancelaria y valor CIF ($), 2024</t>
  </si>
  <si>
    <t>Leña;madera en plaquitas,aserrín, briquetas; aserrin</t>
  </si>
  <si>
    <t>Carbón vegetal, incluso aglomerado.</t>
  </si>
  <si>
    <t>De pino (pinus spp.), cuya mayor dimensión de la sección transversal es igual o superior a 15 cm</t>
  </si>
  <si>
    <t>Las demás, de pino (pinus spp.)</t>
  </si>
  <si>
    <t>Las demás, cuya mayor dimensión de la sección transversal es igual o superior a 15 cm.</t>
  </si>
  <si>
    <t>Flejes de madera; rodrigones hendidos; estacas y estaquillas de madera, apuntadas…</t>
  </si>
  <si>
    <t>De abeto (abies spp.) y de pícea (picea spp.)</t>
  </si>
  <si>
    <t>De encina, roble, alcornoque y demás belloteros (quercus spp.)</t>
  </si>
  <si>
    <t>De haya (fagus spp.)</t>
  </si>
  <si>
    <t>Tablillas para cubierta de tejados o fachadas (shingles y shakes)</t>
  </si>
  <si>
    <t>Papel o cartón obtenido principalmente a partir de pasta mecánica (por ejemplo: diarios, periódicos e impresos similares)</t>
  </si>
  <si>
    <t>Papel y cartón sulfurizados (pergamino vegetal), en tiras o bobinas de anchura superior a 15 cm pero inferior o igual a 36 cm</t>
  </si>
  <si>
    <t>Importación de productos forestales maderables (2024)</t>
  </si>
  <si>
    <t>Tabla 50. Exportación de productos forestales diferentes a la madera por producto y valor FOB ($), 2024</t>
  </si>
  <si>
    <t>Camu camu (myrciaria dubia)</t>
  </si>
  <si>
    <t>Uña de gato (uncaria tomentosa)</t>
  </si>
  <si>
    <t>Mucílagos de semilla de tara (caesalpinea spinosa)</t>
  </si>
  <si>
    <t>Tara en polvo (caesalpinea spinosa)</t>
  </si>
  <si>
    <t>Tabla 51. Exportación de productos forestales diferentes a la madera por partida arancelaria y valor FOB ($), 2024</t>
  </si>
  <si>
    <t>Exportación de productos forestales diferentes a la madera (2024)</t>
  </si>
  <si>
    <t>Tabla 52. Importación de productos forestales diferentes a la madera por producto y valor CIF ($), 2024</t>
  </si>
  <si>
    <t>Semillas, frutos y esporas, para siembra.</t>
  </si>
  <si>
    <t>Indigo natural</t>
  </si>
  <si>
    <t>Tabla 53. Importación de productos forestales diferentes a la madera por partida arancelaria y valor CIF ($), 2024</t>
  </si>
  <si>
    <t>Importación de productos forestales diferentes a la madera (2024)</t>
  </si>
  <si>
    <t>Tabla 54. Balanza comercial de productos forestales por tipo de operación comercial, 2024</t>
  </si>
  <si>
    <t>Productos diferentes a la madera</t>
  </si>
  <si>
    <t>Balanza comercial de productos forestales (2024)</t>
  </si>
  <si>
    <t>Tabla 55. Exportación de fauna silvestre por producto y valor FOB ($), 2024</t>
  </si>
  <si>
    <t>Bolivia</t>
  </si>
  <si>
    <t>Suma de FOB</t>
  </si>
  <si>
    <t>5.5.1. Permisos CITES para la exportación de fibra de vicuña y productos derivados</t>
  </si>
  <si>
    <r>
      <t xml:space="preserve">Tabla 57. Permisos para la exportación e importación de fibra de "vicuña" </t>
    </r>
    <r>
      <rPr>
        <b/>
        <i/>
        <sz val="10"/>
        <color theme="1"/>
        <rFont val="Arial"/>
        <family val="2"/>
      </rPr>
      <t>Vicugna vicugna</t>
    </r>
    <r>
      <rPr>
        <b/>
        <sz val="10"/>
        <color theme="1"/>
        <rFont val="Arial"/>
        <family val="2"/>
      </rPr>
      <t>, emitidos en el año 2024</t>
    </r>
  </si>
  <si>
    <r>
      <t xml:space="preserve">Tabla 58. Permisos CITES para la exportación de fibra de "vicuña" </t>
    </r>
    <r>
      <rPr>
        <b/>
        <i/>
        <sz val="10"/>
        <color theme="1"/>
        <rFont val="Arial"/>
        <family val="2"/>
      </rPr>
      <t>Vicugna vicugna</t>
    </r>
    <r>
      <rPr>
        <b/>
        <sz val="10"/>
        <color theme="1"/>
        <rFont val="Arial"/>
        <family val="2"/>
      </rPr>
      <t>, por país de destino, emitidos en el año 2024</t>
    </r>
  </si>
  <si>
    <t>4,00</t>
  </si>
  <si>
    <t>20,00</t>
  </si>
  <si>
    <t>1,40</t>
  </si>
  <si>
    <t>22,00</t>
  </si>
  <si>
    <t>269,00</t>
  </si>
  <si>
    <t>Corea del sur</t>
  </si>
  <si>
    <t>24,00</t>
  </si>
  <si>
    <t>España</t>
  </si>
  <si>
    <t>3,00</t>
  </si>
  <si>
    <t>25,00</t>
  </si>
  <si>
    <t>Federación de Rusia</t>
  </si>
  <si>
    <t>17,00</t>
  </si>
  <si>
    <t>30,04</t>
  </si>
  <si>
    <t>29,00</t>
  </si>
  <si>
    <t>2,80</t>
  </si>
  <si>
    <t>Noruega</t>
  </si>
  <si>
    <t>1,00</t>
  </si>
  <si>
    <t>6,00</t>
  </si>
  <si>
    <t>República Checa</t>
  </si>
  <si>
    <t>0,05</t>
  </si>
  <si>
    <t>128,00</t>
  </si>
  <si>
    <t>Suiza</t>
  </si>
  <si>
    <t>2,00</t>
  </si>
  <si>
    <r>
      <t xml:space="preserve">Tabla 59. Permisos CITES para la exportación de productos derivados de fibra de "vicuña" </t>
    </r>
    <r>
      <rPr>
        <b/>
        <i/>
        <sz val="10"/>
        <color theme="1"/>
        <rFont val="Arial"/>
        <family val="2"/>
      </rPr>
      <t>Vicugna vicugna</t>
    </r>
    <r>
      <rPr>
        <b/>
        <sz val="10"/>
        <color theme="1"/>
        <rFont val="Arial"/>
        <family val="2"/>
      </rPr>
      <t>, emitidos en el año 2024</t>
    </r>
  </si>
  <si>
    <t>Cedrela fissillis</t>
  </si>
  <si>
    <t>LÁMINAS</t>
  </si>
  <si>
    <t>MEXICO</t>
  </si>
  <si>
    <t>MADERA ASERRADA</t>
  </si>
  <si>
    <t>CHINA</t>
  </si>
  <si>
    <t>TABLEROS CONTRACHAPADOS (AMBAS CARA)</t>
  </si>
  <si>
    <t>CANADA</t>
  </si>
  <si>
    <t>CHILE</t>
  </si>
  <si>
    <t>ESTADOS UNIDOS</t>
  </si>
  <si>
    <t>PUERTO RICO</t>
  </si>
  <si>
    <t>Cantidad (m3)</t>
  </si>
  <si>
    <t>Tabla 60. Permisos de exportación de productos forestales maderables de especies CITES, emitidos en el año 2024</t>
  </si>
  <si>
    <t>5.5.2. Permisos para la exportación de productos forestales maderables de especies CITES</t>
  </si>
  <si>
    <t>Valor FOB ($) de permisos de exportación de productos forestales maderables de especies CITES, por país de destino (2024)</t>
  </si>
  <si>
    <t>Tabla 61. Permisos de exportación de plantas vivas (orquídeas) de especies CITES, emitidos en el año 2024</t>
  </si>
  <si>
    <t>ALEMANIA</t>
  </si>
  <si>
    <t>GUATEMALA</t>
  </si>
  <si>
    <t>JAPON</t>
  </si>
  <si>
    <t>KIUGUISTAN</t>
  </si>
  <si>
    <t>TAIWAN</t>
  </si>
  <si>
    <t>5.5.3. Permisos para la exportación de productos forestales diferentes a la madera de especies CITES</t>
  </si>
  <si>
    <t>Cantidad de plantas vivas (orquídeas) registradas en los permisos de exportación CITES, por país de destino (2024)</t>
  </si>
  <si>
    <t>Acianthera casapensis (Acianthera polystachya)</t>
  </si>
  <si>
    <t>Acineta superba</t>
  </si>
  <si>
    <t>Phragmipedium híbrida</t>
  </si>
  <si>
    <t>Psygmorchis pusilla (Erycina pusilla)</t>
  </si>
  <si>
    <t>Odontoglossum híbrida</t>
  </si>
  <si>
    <t>Lycaste híbrida</t>
  </si>
  <si>
    <t>Catasetum híbrida</t>
  </si>
  <si>
    <t>Cymbidium híbrida</t>
  </si>
  <si>
    <t>Epidendrum híbrida</t>
  </si>
  <si>
    <t>Vanilla pompona subsp. grandiflora</t>
  </si>
  <si>
    <t>Phragmipedium pearcei</t>
  </si>
  <si>
    <t>Psychopsis versteegiana (versteegianum)</t>
  </si>
  <si>
    <t>Cycnoches cooperi</t>
  </si>
  <si>
    <t>Cochlioda vulcanica (Oncidium vulcanicum)</t>
  </si>
  <si>
    <t>Odontoglossum wyattianum (Oncidium wyattianum)</t>
  </si>
  <si>
    <t>Trichocentrum lanceanum (Oncidium lanceanum)</t>
  </si>
  <si>
    <t>Oncidium híbrida</t>
  </si>
  <si>
    <t>Coryanthes alborosea</t>
  </si>
  <si>
    <t>Stanhopea haseloffiana</t>
  </si>
  <si>
    <t>Cyrtochilum macranthum (Oncidium macranthum)</t>
  </si>
  <si>
    <t>Tabla 62. Principales especies de orquídeas solicitadas para su exportación, en el año 2024</t>
  </si>
  <si>
    <t>CACTUS</t>
  </si>
  <si>
    <t>PLANTA VIVA</t>
  </si>
  <si>
    <t>HELECHO ARBOREO</t>
  </si>
  <si>
    <t>Total:</t>
  </si>
  <si>
    <t>FOB ($)</t>
  </si>
  <si>
    <t>Tabla 63. Permisos CITES para la exportación de plantas vivas (cactus y helechos), emitidos en el año 2024</t>
  </si>
  <si>
    <t>Kilos</t>
  </si>
  <si>
    <t>EXTRACTO DE ACEITE</t>
  </si>
  <si>
    <t>AUSTRALIA</t>
  </si>
  <si>
    <t>COREA DEL SUR</t>
  </si>
  <si>
    <t>ESPAÑA</t>
  </si>
  <si>
    <t>FRANCIA</t>
  </si>
  <si>
    <t>REINO UNIDO</t>
  </si>
  <si>
    <t>MUESTRAS</t>
  </si>
  <si>
    <r>
      <t xml:space="preserve">Tabla 64. Permisos CITES para la exportación de productos de "Palo rosa" </t>
    </r>
    <r>
      <rPr>
        <b/>
        <i/>
        <sz val="9"/>
        <color theme="1"/>
        <rFont val="Arial"/>
        <family val="2"/>
      </rPr>
      <t>Aniba rosaeodora</t>
    </r>
    <r>
      <rPr>
        <b/>
        <sz val="9"/>
        <color theme="1"/>
        <rFont val="Arial"/>
        <family val="2"/>
      </rPr>
      <t>, emitidos en el año 2024</t>
    </r>
  </si>
  <si>
    <t>Tabla 24. Licencias de regencia forestal y de fauna silvestre otorgadas en el año 2024</t>
  </si>
  <si>
    <t>Exportación de productos forestales maderables (2024)</t>
  </si>
  <si>
    <t>Tabla 56.Importación de fauna silvestre por partida y valor FOB ($), 2024</t>
  </si>
  <si>
    <t>Tabla13_Depósitos!A1</t>
  </si>
  <si>
    <t>Tabla12_CTP!_</t>
  </si>
  <si>
    <t>Tabla14-16_Transferencias'!A1</t>
  </si>
  <si>
    <t>Tabla17-20_PAS Fauna'!A1</t>
  </si>
  <si>
    <t>Tabla21-23_Plantaciones'!A1</t>
  </si>
  <si>
    <t>Tabla24_Regentes</t>
  </si>
  <si>
    <t>Tabla25_RNI!A1</t>
  </si>
  <si>
    <t>Tabla26_Centros de propagacion'!A1</t>
  </si>
  <si>
    <t>Tabla27-28_ProdMadRoll'!A1</t>
  </si>
  <si>
    <t>Tabla29-30_ProdMadAs'!A1</t>
  </si>
  <si>
    <t>Tabla31_Durmientes!A1</t>
  </si>
  <si>
    <t>Tabla32_Parquet!A1</t>
  </si>
  <si>
    <t>Tabla33_MadLaminada!A1</t>
  </si>
  <si>
    <t>Tabla34_Leña!A1</t>
  </si>
  <si>
    <t>Tabla35_Carbón!A1</t>
  </si>
  <si>
    <t>Tabla36-37_PFDM'!A1</t>
  </si>
  <si>
    <t>Tabla38-39_DEMA CSS'!A1</t>
  </si>
  <si>
    <t>Tabla40-44_CapturayEsquila'!A1</t>
  </si>
  <si>
    <t>Tabla45_CazaFurtiva!A1</t>
  </si>
  <si>
    <t>Tabla46-47_Exportación_FoMad'!A1</t>
  </si>
  <si>
    <t>Tabla48-49_ImportaciónForMad'!A1</t>
  </si>
  <si>
    <t>Tabla50-51_ExportaciónPFDM'!A1</t>
  </si>
  <si>
    <t>Tabla52-53_ImportacionPFDM'!A1</t>
  </si>
  <si>
    <t>Tabla54_BALANZA COMERCIAL'!A1</t>
  </si>
  <si>
    <t>Tabla55_56ExportaciónFauna!A1</t>
  </si>
  <si>
    <t>Tabla57-59_ExportCITES_vicuña</t>
  </si>
  <si>
    <t>Tabla60_ExportCITES_Mad</t>
  </si>
  <si>
    <t>Tabla61-64_ExportCITES_PFDM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</si>
</sst>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??_-;_-@"/>
    <numFmt numFmtId="166" formatCode="_-* #,##0_-;\-* #,##0_-;_-* &quot;-&quot;??_-;_-@"/>
    <numFmt numFmtId="168" formatCode="#,##0.0000000"/>
    <numFmt numFmtId="169" formatCode="_ * #,##0.00_ ;_ * \-#,##0.00_ ;_ * &quot;-&quot;_ ;_ @_ "/>
    <numFmt numFmtId="171" formatCode="_-* #,##0.0000_-;\-* #,##0.0000_-;_-* &quot;-&quot;??_-;_-@"/>
    <numFmt numFmtId="174" formatCode="_-* #,##0_-;\-* #,##0_-;_-* &quot;-&quot;??_-;_-@_-"/>
    <numFmt numFmtId="175" formatCode="_ * #,##0_ ;_ * \-#,##0_ ;_ * &quot;-&quot;_ ;_ @_ "/>
    <numFmt numFmtId="176" formatCode="0.000"/>
    <numFmt numFmtId="177" formatCode="0.0000"/>
  </numFmts>
  <fonts count="9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8"/>
      <color theme="1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sz val="9"/>
      <color theme="1"/>
      <name val="Calibri"/>
      <family val="2"/>
    </font>
    <font>
      <sz val="11"/>
      <color theme="0"/>
      <name val="Calibri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9"/>
      <color theme="1"/>
      <name val="Arial"/>
      <family val="2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i/>
      <sz val="8"/>
      <color theme="1"/>
      <name val="Arial"/>
      <family val="2"/>
    </font>
    <font>
      <b/>
      <sz val="7"/>
      <color theme="1"/>
      <name val="Arial"/>
      <family val="2"/>
    </font>
    <font>
      <b/>
      <i/>
      <sz val="9"/>
      <color theme="1"/>
      <name val="Arial"/>
      <family val="2"/>
    </font>
    <font>
      <sz val="8"/>
      <color theme="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8"/>
      <color theme="0"/>
      <name val="Arial"/>
      <family val="2"/>
    </font>
    <font>
      <u/>
      <sz val="9"/>
      <color theme="1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.5"/>
      <color theme="1"/>
      <name val="Arial"/>
      <family val="2"/>
    </font>
    <font>
      <b/>
      <sz val="11.5"/>
      <color theme="1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color theme="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i/>
      <sz val="10"/>
      <name val="Arial"/>
      <family val="2"/>
    </font>
    <font>
      <sz val="8"/>
      <name val="Calibri"/>
      <family val="2"/>
    </font>
    <font>
      <sz val="16"/>
      <name val="Arial Narrow"/>
      <family val="2"/>
    </font>
    <font>
      <sz val="8"/>
      <name val="Arial Narrow"/>
      <family val="2"/>
    </font>
    <font>
      <u/>
      <sz val="8"/>
      <name val="Arial"/>
      <family val="2"/>
    </font>
    <font>
      <sz val="11"/>
      <color rgb="FFFF0000"/>
      <name val="Calibri"/>
      <family val="2"/>
      <scheme val="minor"/>
    </font>
    <font>
      <sz val="8"/>
      <color theme="0"/>
      <name val="Abadi"/>
      <family val="2"/>
    </font>
    <font>
      <sz val="9"/>
      <color theme="2"/>
      <name val="Arial"/>
      <family val="2"/>
    </font>
    <font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28"/>
      <color rgb="FF499B3F"/>
      <name val="Aptos"/>
      <family val="2"/>
    </font>
    <font>
      <sz val="8"/>
      <color rgb="FFF9F7F4"/>
      <name val="Arial"/>
      <family val="2"/>
    </font>
    <font>
      <b/>
      <sz val="18"/>
      <color rgb="FFE0AE3F"/>
      <name val="Arial"/>
      <family val="2"/>
    </font>
    <font>
      <sz val="8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8"/>
      <color theme="1"/>
      <name val="Calibri"/>
      <family val="2"/>
      <scheme val="minor"/>
    </font>
    <font>
      <b/>
      <i/>
      <sz val="8"/>
      <name val="Arial"/>
      <family val="2"/>
    </font>
    <font>
      <b/>
      <sz val="8"/>
      <color rgb="FFFF0000"/>
      <name val="Arial"/>
      <family val="2"/>
    </font>
    <font>
      <sz val="8"/>
      <name val="Tahoma"/>
      <family val="2"/>
    </font>
    <font>
      <b/>
      <sz val="8"/>
      <color theme="0"/>
      <name val="Tahoma"/>
      <family val="2"/>
    </font>
    <font>
      <b/>
      <sz val="8"/>
      <color theme="1"/>
      <name val="Tahoma"/>
      <family val="2"/>
    </font>
    <font>
      <sz val="7"/>
      <color rgb="FF000000"/>
      <name val="Arial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9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F4EF"/>
        <bgColor rgb="FFE1E5EB"/>
      </patternFill>
    </fill>
    <fill>
      <patternFill patternType="solid">
        <fgColor rgb="FFF7F4EF"/>
        <bgColor indexed="64"/>
      </patternFill>
    </fill>
    <fill>
      <patternFill patternType="solid">
        <fgColor rgb="FF59CB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rgb="FF00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1E5EB"/>
      </patternFill>
    </fill>
    <fill>
      <patternFill patternType="solid">
        <fgColor rgb="FF59CBC0"/>
        <bgColor rgb="FF009999"/>
      </patternFill>
    </fill>
    <fill>
      <patternFill patternType="solid">
        <fgColor rgb="FF009999"/>
        <bgColor indexed="64"/>
      </patternFill>
    </fill>
    <fill>
      <patternFill patternType="solid">
        <fgColor rgb="FFE1E5EB"/>
        <bgColor indexed="64"/>
      </patternFill>
    </fill>
    <fill>
      <patternFill patternType="solid">
        <fgColor theme="7" tint="0.39997558519241921"/>
        <bgColor rgb="FF00999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009999"/>
      </patternFill>
    </fill>
    <fill>
      <patternFill patternType="solid">
        <fgColor theme="5"/>
        <bgColor rgb="FF009999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rgb="FFE1E5EB"/>
      </patternFill>
    </fill>
    <fill>
      <patternFill patternType="solid">
        <fgColor theme="6" tint="0.39997558519241921"/>
        <bgColor rgb="FFE1E5EB"/>
      </patternFill>
    </fill>
    <fill>
      <patternFill patternType="solid">
        <fgColor theme="8"/>
        <bgColor indexed="64"/>
      </patternFill>
    </fill>
    <fill>
      <patternFill patternType="solid">
        <fgColor rgb="FF6DA6D9"/>
        <bgColor indexed="64"/>
      </patternFill>
    </fill>
    <fill>
      <patternFill patternType="solid">
        <fgColor theme="8"/>
        <bgColor rgb="FF009999"/>
      </patternFill>
    </fill>
    <fill>
      <patternFill patternType="solid">
        <fgColor theme="6" tint="0.39997558519241921"/>
        <bgColor theme="4" tint="0.79998168889431442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DB9CA"/>
      </left>
      <right style="thin">
        <color rgb="FFADB9CA"/>
      </right>
      <top style="thin">
        <color rgb="FFADB9CA"/>
      </top>
      <bottom style="double">
        <color rgb="FFADB9CA"/>
      </bottom>
      <diagonal/>
    </border>
    <border>
      <left style="thin">
        <color rgb="FFADB9CA"/>
      </left>
      <right style="thin">
        <color rgb="FFADB9CA"/>
      </right>
      <top style="thin">
        <color rgb="FFADB9CA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rgb="FFFFFFFF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medium">
        <color rgb="FFFFFFFF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rgb="FFD3D3D3"/>
      </bottom>
      <diagonal/>
    </border>
    <border>
      <left/>
      <right/>
      <top/>
      <bottom style="medium">
        <color rgb="FF5B9BD5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18">
    <xf numFmtId="0" fontId="0" fillId="0" borderId="0"/>
    <xf numFmtId="0" fontId="39" fillId="0" borderId="0" applyNumberFormat="0" applyFill="0" applyBorder="0" applyAlignment="0" applyProtection="0"/>
    <xf numFmtId="43" fontId="4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45" fillId="0" borderId="1"/>
    <xf numFmtId="0" fontId="45" fillId="0" borderId="1"/>
    <xf numFmtId="0" fontId="39" fillId="0" borderId="1" applyNumberFormat="0" applyFill="0" applyBorder="0" applyAlignment="0" applyProtection="0"/>
    <xf numFmtId="0" fontId="40" fillId="0" borderId="1"/>
    <xf numFmtId="43" fontId="40" fillId="0" borderId="1" applyFont="0" applyFill="0" applyBorder="0" applyAlignment="0" applyProtection="0"/>
    <xf numFmtId="9" fontId="40" fillId="0" borderId="1" applyFont="0" applyFill="0" applyBorder="0" applyAlignment="0" applyProtection="0"/>
    <xf numFmtId="9" fontId="45" fillId="0" borderId="1" applyFont="0" applyFill="0" applyBorder="0" applyAlignment="0" applyProtection="0"/>
    <xf numFmtId="175" fontId="45" fillId="0" borderId="1" applyFont="0" applyFill="0" applyBorder="0" applyAlignment="0" applyProtection="0"/>
    <xf numFmtId="0" fontId="60" fillId="0" borderId="1"/>
    <xf numFmtId="0" fontId="45" fillId="0" borderId="1"/>
    <xf numFmtId="0" fontId="1" fillId="0" borderId="1"/>
    <xf numFmtId="43" fontId="1" fillId="0" borderId="1" applyFont="0" applyFill="0" applyBorder="0" applyAlignment="0" applyProtection="0"/>
    <xf numFmtId="0" fontId="1" fillId="0" borderId="1"/>
    <xf numFmtId="0" fontId="45" fillId="0" borderId="1"/>
  </cellStyleXfs>
  <cellXfs count="8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165" fontId="7" fillId="0" borderId="0" xfId="0" applyNumberFormat="1" applyFont="1" applyAlignment="1">
      <alignment wrapText="1"/>
    </xf>
    <xf numFmtId="0" fontId="7" fillId="0" borderId="0" xfId="0" applyFont="1"/>
    <xf numFmtId="0" fontId="8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horizontal="left"/>
    </xf>
    <xf numFmtId="0" fontId="13" fillId="0" borderId="0" xfId="0" applyFont="1"/>
    <xf numFmtId="0" fontId="8" fillId="0" borderId="0" xfId="0" applyFont="1"/>
    <xf numFmtId="0" fontId="9" fillId="0" borderId="8" xfId="0" applyFont="1" applyBorder="1"/>
    <xf numFmtId="0" fontId="9" fillId="0" borderId="13" xfId="0" applyFont="1" applyBorder="1"/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0" fillId="0" borderId="0" xfId="0" applyFont="1"/>
    <xf numFmtId="0" fontId="9" fillId="0" borderId="0" xfId="0" applyFont="1"/>
    <xf numFmtId="0" fontId="23" fillId="0" borderId="0" xfId="0" applyFont="1"/>
    <xf numFmtId="0" fontId="9" fillId="0" borderId="14" xfId="0" applyFont="1" applyBorder="1"/>
    <xf numFmtId="0" fontId="25" fillId="0" borderId="0" xfId="0" applyFont="1"/>
    <xf numFmtId="0" fontId="16" fillId="0" borderId="0" xfId="0" applyFont="1" applyAlignment="1">
      <alignment wrapText="1"/>
    </xf>
    <xf numFmtId="0" fontId="16" fillId="0" borderId="0" xfId="0" applyFont="1"/>
    <xf numFmtId="165" fontId="9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2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68" fontId="9" fillId="0" borderId="0" xfId="0" applyNumberFormat="1" applyFont="1"/>
    <xf numFmtId="4" fontId="9" fillId="0" borderId="0" xfId="0" applyNumberFormat="1" applyFont="1"/>
    <xf numFmtId="3" fontId="20" fillId="0" borderId="0" xfId="0" applyNumberFormat="1" applyFont="1"/>
    <xf numFmtId="4" fontId="28" fillId="0" borderId="0" xfId="0" applyNumberFormat="1" applyFont="1" applyAlignment="1">
      <alignment vertical="center"/>
    </xf>
    <xf numFmtId="0" fontId="29" fillId="0" borderId="0" xfId="0" applyFont="1" applyAlignment="1">
      <alignment horizontal="left"/>
    </xf>
    <xf numFmtId="0" fontId="29" fillId="0" borderId="0" xfId="0" applyFont="1"/>
    <xf numFmtId="0" fontId="7" fillId="0" borderId="0" xfId="0" applyFont="1" applyAlignment="1">
      <alignment horizontal="right"/>
    </xf>
    <xf numFmtId="4" fontId="29" fillId="0" borderId="0" xfId="0" applyNumberFormat="1" applyFont="1" applyAlignment="1">
      <alignment horizontal="right"/>
    </xf>
    <xf numFmtId="169" fontId="28" fillId="0" borderId="0" xfId="0" applyNumberFormat="1" applyFont="1" applyAlignment="1">
      <alignment vertical="center"/>
    </xf>
    <xf numFmtId="165" fontId="29" fillId="0" borderId="0" xfId="0" applyNumberFormat="1" applyFont="1" applyAlignment="1">
      <alignment horizontal="right"/>
    </xf>
    <xf numFmtId="0" fontId="28" fillId="0" borderId="0" xfId="0" applyFont="1"/>
    <xf numFmtId="169" fontId="31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/>
    </xf>
    <xf numFmtId="0" fontId="28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3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2" fillId="0" borderId="0" xfId="0" applyNumberFormat="1" applyFont="1"/>
    <xf numFmtId="0" fontId="35" fillId="0" borderId="0" xfId="0" applyFont="1"/>
    <xf numFmtId="171" fontId="9" fillId="0" borderId="0" xfId="0" applyNumberFormat="1" applyFont="1" applyAlignment="1">
      <alignment wrapText="1"/>
    </xf>
    <xf numFmtId="165" fontId="9" fillId="0" borderId="0" xfId="0" applyNumberFormat="1" applyFont="1" applyAlignment="1">
      <alignment wrapText="1"/>
    </xf>
    <xf numFmtId="165" fontId="19" fillId="0" borderId="0" xfId="0" applyNumberFormat="1" applyFont="1"/>
    <xf numFmtId="166" fontId="19" fillId="0" borderId="0" xfId="0" applyNumberFormat="1" applyFont="1"/>
    <xf numFmtId="0" fontId="37" fillId="0" borderId="0" xfId="0" applyFont="1"/>
    <xf numFmtId="0" fontId="42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3" fillId="0" borderId="0" xfId="0" applyFont="1"/>
    <xf numFmtId="0" fontId="39" fillId="0" borderId="0" xfId="1"/>
    <xf numFmtId="0" fontId="49" fillId="0" borderId="0" xfId="0" applyFont="1"/>
    <xf numFmtId="0" fontId="35" fillId="0" borderId="1" xfId="4" applyFont="1" applyAlignment="1">
      <alignment vertical="center"/>
    </xf>
    <xf numFmtId="0" fontId="44" fillId="0" borderId="1" xfId="5" applyFont="1"/>
    <xf numFmtId="4" fontId="44" fillId="0" borderId="1" xfId="5" applyNumberFormat="1" applyFont="1"/>
    <xf numFmtId="0" fontId="22" fillId="0" borderId="1" xfId="4" applyFont="1"/>
    <xf numFmtId="4" fontId="22" fillId="0" borderId="1" xfId="4" applyNumberFormat="1" applyFont="1"/>
    <xf numFmtId="10" fontId="22" fillId="0" borderId="0" xfId="3" applyNumberFormat="1" applyFont="1"/>
    <xf numFmtId="0" fontId="22" fillId="0" borderId="1" xfId="4" applyFont="1" applyAlignment="1">
      <alignment vertical="center"/>
    </xf>
    <xf numFmtId="4" fontId="22" fillId="0" borderId="1" xfId="4" applyNumberFormat="1" applyFont="1" applyAlignment="1">
      <alignment vertical="center"/>
    </xf>
    <xf numFmtId="4" fontId="22" fillId="0" borderId="0" xfId="4" applyNumberFormat="1" applyFont="1" applyBorder="1"/>
    <xf numFmtId="10" fontId="22" fillId="0" borderId="0" xfId="3" applyNumberFormat="1" applyFont="1" applyBorder="1"/>
    <xf numFmtId="10" fontId="22" fillId="0" borderId="1" xfId="4" applyNumberFormat="1" applyFont="1" applyAlignment="1">
      <alignment vertical="center"/>
    </xf>
    <xf numFmtId="0" fontId="8" fillId="0" borderId="0" xfId="0" applyFont="1" applyAlignment="1">
      <alignment horizontal="left"/>
    </xf>
    <xf numFmtId="164" fontId="0" fillId="0" borderId="0" xfId="0" applyNumberFormat="1"/>
    <xf numFmtId="0" fontId="39" fillId="0" borderId="1" xfId="6" applyAlignment="1"/>
    <xf numFmtId="0" fontId="44" fillId="0" borderId="1" xfId="4" applyFont="1" applyAlignment="1">
      <alignment vertical="center"/>
    </xf>
    <xf numFmtId="0" fontId="44" fillId="0" borderId="1" xfId="4" applyFont="1"/>
    <xf numFmtId="0" fontId="3" fillId="0" borderId="1" xfId="7" applyFont="1"/>
    <xf numFmtId="0" fontId="51" fillId="0" borderId="1" xfId="7" applyFont="1"/>
    <xf numFmtId="0" fontId="47" fillId="0" borderId="1" xfId="4" applyFont="1"/>
    <xf numFmtId="0" fontId="10" fillId="0" borderId="1" xfId="4" applyFont="1"/>
    <xf numFmtId="0" fontId="52" fillId="0" borderId="1" xfId="7" applyFont="1"/>
    <xf numFmtId="0" fontId="2" fillId="0" borderId="1" xfId="7" applyFont="1"/>
    <xf numFmtId="0" fontId="5" fillId="0" borderId="1" xfId="7" applyFont="1"/>
    <xf numFmtId="0" fontId="40" fillId="0" borderId="1" xfId="7"/>
    <xf numFmtId="0" fontId="46" fillId="0" borderId="1" xfId="4" applyFont="1"/>
    <xf numFmtId="10" fontId="22" fillId="0" borderId="1" xfId="9" applyNumberFormat="1" applyFont="1"/>
    <xf numFmtId="0" fontId="9" fillId="0" borderId="1" xfId="7" applyFont="1"/>
    <xf numFmtId="168" fontId="44" fillId="0" borderId="1" xfId="4" applyNumberFormat="1" applyFont="1"/>
    <xf numFmtId="4" fontId="44" fillId="0" borderId="1" xfId="4" applyNumberFormat="1" applyFont="1"/>
    <xf numFmtId="0" fontId="13" fillId="0" borderId="1" xfId="7" applyFont="1" applyAlignment="1">
      <alignment horizontal="left"/>
    </xf>
    <xf numFmtId="0" fontId="44" fillId="0" borderId="1" xfId="4" applyFont="1" applyAlignment="1">
      <alignment horizontal="left"/>
    </xf>
    <xf numFmtId="0" fontId="13" fillId="0" borderId="1" xfId="7" applyFont="1"/>
    <xf numFmtId="0" fontId="47" fillId="0" borderId="1" xfId="4" applyFont="1" applyAlignment="1">
      <alignment vertical="justify"/>
    </xf>
    <xf numFmtId="0" fontId="47" fillId="0" borderId="1" xfId="4" applyFont="1" applyAlignment="1">
      <alignment horizontal="center"/>
    </xf>
    <xf numFmtId="4" fontId="44" fillId="0" borderId="1" xfId="4" applyNumberFormat="1" applyFont="1" applyAlignment="1">
      <alignment horizontal="left"/>
    </xf>
    <xf numFmtId="0" fontId="20" fillId="0" borderId="1" xfId="4" applyFont="1"/>
    <xf numFmtId="3" fontId="20" fillId="0" borderId="1" xfId="4" applyNumberFormat="1" applyFont="1"/>
    <xf numFmtId="0" fontId="44" fillId="0" borderId="1" xfId="7" applyFont="1"/>
    <xf numFmtId="0" fontId="45" fillId="0" borderId="1" xfId="4"/>
    <xf numFmtId="0" fontId="53" fillId="0" borderId="1" xfId="4" applyFont="1" applyAlignment="1">
      <alignment horizontal="left" vertical="center"/>
    </xf>
    <xf numFmtId="0" fontId="53" fillId="0" borderId="1" xfId="4" applyFont="1"/>
    <xf numFmtId="4" fontId="53" fillId="0" borderId="1" xfId="4" applyNumberFormat="1" applyFont="1"/>
    <xf numFmtId="0" fontId="46" fillId="0" borderId="1" xfId="4" applyFont="1" applyAlignment="1">
      <alignment horizontal="left"/>
    </xf>
    <xf numFmtId="0" fontId="33" fillId="0" borderId="1" xfId="4" applyFont="1"/>
    <xf numFmtId="3" fontId="53" fillId="0" borderId="1" xfId="4" applyNumberFormat="1" applyFont="1"/>
    <xf numFmtId="4" fontId="20" fillId="0" borderId="1" xfId="4" applyNumberFormat="1" applyFont="1"/>
    <xf numFmtId="0" fontId="54" fillId="0" borderId="1" xfId="4" applyFont="1"/>
    <xf numFmtId="0" fontId="55" fillId="0" borderId="1" xfId="4" applyFont="1"/>
    <xf numFmtId="4" fontId="45" fillId="0" borderId="1" xfId="4" applyNumberFormat="1"/>
    <xf numFmtId="0" fontId="54" fillId="0" borderId="1" xfId="4" applyFont="1" applyAlignment="1">
      <alignment horizontal="left"/>
    </xf>
    <xf numFmtId="0" fontId="56" fillId="0" borderId="1" xfId="4" applyFont="1" applyAlignment="1">
      <alignment horizontal="center"/>
    </xf>
    <xf numFmtId="0" fontId="56" fillId="0" borderId="1" xfId="4" applyFont="1"/>
    <xf numFmtId="0" fontId="53" fillId="0" borderId="1" xfId="4" applyFont="1" applyAlignment="1">
      <alignment horizontal="left"/>
    </xf>
    <xf numFmtId="0" fontId="57" fillId="0" borderId="1" xfId="4" applyFont="1"/>
    <xf numFmtId="3" fontId="45" fillId="0" borderId="1" xfId="4" applyNumberFormat="1"/>
    <xf numFmtId="0" fontId="53" fillId="0" borderId="1" xfId="4" applyFont="1" applyAlignment="1">
      <alignment vertical="center"/>
    </xf>
    <xf numFmtId="4" fontId="46" fillId="0" borderId="1" xfId="4" applyNumberFormat="1" applyFont="1"/>
    <xf numFmtId="0" fontId="21" fillId="0" borderId="1" xfId="4" applyFont="1"/>
    <xf numFmtId="9" fontId="33" fillId="0" borderId="1" xfId="9" applyFont="1" applyBorder="1"/>
    <xf numFmtId="0" fontId="10" fillId="0" borderId="1" xfId="4" applyFont="1" applyAlignment="1">
      <alignment horizontal="left" vertical="center" wrapText="1"/>
    </xf>
    <xf numFmtId="9" fontId="53" fillId="0" borderId="1" xfId="9" applyFont="1"/>
    <xf numFmtId="169" fontId="56" fillId="0" borderId="1" xfId="11" applyNumberFormat="1" applyFont="1" applyBorder="1" applyAlignment="1">
      <alignment vertical="center"/>
    </xf>
    <xf numFmtId="0" fontId="54" fillId="0" borderId="1" xfId="11" applyNumberFormat="1" applyFont="1" applyFill="1" applyBorder="1" applyAlignment="1"/>
    <xf numFmtId="3" fontId="33" fillId="0" borderId="1" xfId="4" applyNumberFormat="1" applyFont="1"/>
    <xf numFmtId="3" fontId="58" fillId="0" borderId="0" xfId="0" applyNumberFormat="1" applyFont="1"/>
    <xf numFmtId="0" fontId="8" fillId="0" borderId="0" xfId="0" applyFont="1" applyAlignment="1">
      <alignment horizontal="center"/>
    </xf>
    <xf numFmtId="0" fontId="59" fillId="0" borderId="0" xfId="0" applyFont="1" applyAlignment="1">
      <alignment horizontal="left"/>
    </xf>
    <xf numFmtId="0" fontId="59" fillId="0" borderId="0" xfId="1" quotePrefix="1" applyFont="1" applyAlignment="1">
      <alignment horizontal="left"/>
    </xf>
    <xf numFmtId="0" fontId="45" fillId="0" borderId="1" xfId="12" applyFont="1" applyAlignment="1">
      <alignment horizontal="left" vertical="center"/>
    </xf>
    <xf numFmtId="0" fontId="45" fillId="0" borderId="1" xfId="12" applyFont="1" applyAlignment="1">
      <alignment vertical="center" wrapText="1"/>
    </xf>
    <xf numFmtId="4" fontId="45" fillId="0" borderId="1" xfId="12" applyNumberFormat="1" applyFont="1" applyAlignment="1">
      <alignment vertical="center"/>
    </xf>
    <xf numFmtId="0" fontId="12" fillId="0" borderId="1" xfId="12" applyFont="1"/>
    <xf numFmtId="0" fontId="8" fillId="0" borderId="1" xfId="12" applyFont="1" applyAlignment="1">
      <alignment vertical="center"/>
    </xf>
    <xf numFmtId="0" fontId="44" fillId="0" borderId="1" xfId="12" applyFont="1" applyAlignment="1">
      <alignment horizontal="left" vertical="center"/>
    </xf>
    <xf numFmtId="4" fontId="44" fillId="0" borderId="1" xfId="12" applyNumberFormat="1" applyFont="1" applyAlignment="1">
      <alignment vertical="center"/>
    </xf>
    <xf numFmtId="0" fontId="44" fillId="0" borderId="20" xfId="12" applyFont="1" applyBorder="1" applyAlignment="1">
      <alignment horizontal="left" vertical="center"/>
    </xf>
    <xf numFmtId="0" fontId="44" fillId="0" borderId="20" xfId="12" applyFont="1" applyBorder="1" applyAlignment="1">
      <alignment vertical="center" wrapText="1"/>
    </xf>
    <xf numFmtId="4" fontId="44" fillId="0" borderId="20" xfId="12" applyNumberFormat="1" applyFont="1" applyBorder="1" applyAlignment="1">
      <alignment vertical="center"/>
    </xf>
    <xf numFmtId="0" fontId="13" fillId="0" borderId="1" xfId="12" applyFont="1" applyAlignment="1">
      <alignment vertical="center"/>
    </xf>
    <xf numFmtId="4" fontId="7" fillId="0" borderId="1" xfId="12" applyNumberFormat="1" applyFont="1" applyAlignment="1">
      <alignment vertical="center"/>
    </xf>
    <xf numFmtId="4" fontId="12" fillId="0" borderId="1" xfId="12" applyNumberFormat="1" applyFont="1"/>
    <xf numFmtId="0" fontId="60" fillId="0" borderId="1" xfId="12"/>
    <xf numFmtId="0" fontId="46" fillId="0" borderId="1" xfId="7" applyFont="1" applyAlignment="1">
      <alignment horizontal="left" vertical="center"/>
    </xf>
    <xf numFmtId="0" fontId="61" fillId="0" borderId="1" xfId="7" applyFont="1" applyAlignment="1">
      <alignment horizontal="left" vertical="center"/>
    </xf>
    <xf numFmtId="0" fontId="45" fillId="0" borderId="1" xfId="12" applyFont="1" applyAlignment="1">
      <alignment horizontal="left"/>
    </xf>
    <xf numFmtId="0" fontId="45" fillId="0" borderId="1" xfId="12" applyFont="1" applyAlignment="1">
      <alignment wrapText="1"/>
    </xf>
    <xf numFmtId="4" fontId="45" fillId="0" borderId="1" xfId="12" applyNumberFormat="1" applyFont="1"/>
    <xf numFmtId="0" fontId="8" fillId="0" borderId="1" xfId="12" applyFont="1" applyAlignment="1">
      <alignment horizontal="left" vertical="center"/>
    </xf>
    <xf numFmtId="0" fontId="47" fillId="0" borderId="1" xfId="12" applyFont="1" applyAlignment="1">
      <alignment horizontal="left"/>
    </xf>
    <xf numFmtId="0" fontId="44" fillId="0" borderId="1" xfId="12" applyFont="1" applyAlignment="1">
      <alignment wrapText="1"/>
    </xf>
    <xf numFmtId="4" fontId="47" fillId="0" borderId="1" xfId="12" applyNumberFormat="1" applyFont="1"/>
    <xf numFmtId="0" fontId="15" fillId="0" borderId="1" xfId="12" applyFont="1" applyAlignment="1">
      <alignment wrapText="1"/>
    </xf>
    <xf numFmtId="4" fontId="15" fillId="0" borderId="1" xfId="12" applyNumberFormat="1" applyFont="1"/>
    <xf numFmtId="0" fontId="44" fillId="0" borderId="1" xfId="12" applyFont="1" applyAlignment="1">
      <alignment horizontal="left"/>
    </xf>
    <xf numFmtId="0" fontId="15" fillId="0" borderId="1" xfId="12" applyFont="1"/>
    <xf numFmtId="4" fontId="44" fillId="0" borderId="1" xfId="12" applyNumberFormat="1" applyFont="1"/>
    <xf numFmtId="0" fontId="15" fillId="0" borderId="1" xfId="12" applyFont="1" applyAlignment="1">
      <alignment horizontal="left"/>
    </xf>
    <xf numFmtId="0" fontId="15" fillId="0" borderId="1" xfId="12" applyFont="1" applyAlignment="1">
      <alignment vertical="center" wrapText="1"/>
    </xf>
    <xf numFmtId="4" fontId="15" fillId="0" borderId="1" xfId="12" applyNumberFormat="1" applyFont="1" applyAlignment="1">
      <alignment vertical="center"/>
    </xf>
    <xf numFmtId="49" fontId="15" fillId="0" borderId="1" xfId="12" applyNumberFormat="1" applyFont="1" applyAlignment="1">
      <alignment horizontal="left" vertical="center"/>
    </xf>
    <xf numFmtId="0" fontId="45" fillId="0" borderId="1" xfId="12" applyFont="1"/>
    <xf numFmtId="2" fontId="45" fillId="0" borderId="1" xfId="12" applyNumberFormat="1" applyFont="1" applyAlignment="1">
      <alignment wrapText="1"/>
    </xf>
    <xf numFmtId="0" fontId="53" fillId="0" borderId="1" xfId="12" applyFont="1"/>
    <xf numFmtId="2" fontId="44" fillId="0" borderId="1" xfId="12" applyNumberFormat="1" applyFont="1" applyAlignment="1">
      <alignment wrapText="1"/>
    </xf>
    <xf numFmtId="0" fontId="44" fillId="0" borderId="1" xfId="12" applyFont="1"/>
    <xf numFmtId="0" fontId="47" fillId="0" borderId="1" xfId="12" applyFont="1"/>
    <xf numFmtId="4" fontId="53" fillId="0" borderId="1" xfId="12" applyNumberFormat="1" applyFont="1"/>
    <xf numFmtId="0" fontId="62" fillId="0" borderId="1" xfId="12" applyFont="1"/>
    <xf numFmtId="0" fontId="46" fillId="0" borderId="1" xfId="12" applyFont="1"/>
    <xf numFmtId="0" fontId="63" fillId="0" borderId="1" xfId="13" applyFont="1" applyAlignment="1">
      <alignment vertical="center"/>
    </xf>
    <xf numFmtId="0" fontId="56" fillId="0" borderId="1" xfId="13" quotePrefix="1" applyFont="1" applyAlignment="1">
      <alignment wrapText="1"/>
    </xf>
    <xf numFmtId="0" fontId="64" fillId="0" borderId="1" xfId="13" applyFont="1" applyAlignment="1">
      <alignment vertical="center"/>
    </xf>
    <xf numFmtId="0" fontId="46" fillId="0" borderId="1" xfId="13" quotePrefix="1" applyFont="1"/>
    <xf numFmtId="4" fontId="64" fillId="0" borderId="1" xfId="13" applyNumberFormat="1" applyFont="1" applyAlignment="1">
      <alignment vertical="center"/>
    </xf>
    <xf numFmtId="0" fontId="53" fillId="0" borderId="1" xfId="13" quotePrefix="1" applyFont="1" applyAlignment="1">
      <alignment horizontal="left" vertical="center"/>
    </xf>
    <xf numFmtId="3" fontId="64" fillId="0" borderId="1" xfId="13" applyNumberFormat="1" applyFont="1" applyAlignment="1">
      <alignment vertical="center"/>
    </xf>
    <xf numFmtId="0" fontId="65" fillId="0" borderId="1" xfId="13" quotePrefix="1" applyFont="1" applyAlignment="1">
      <alignment horizontal="left" vertical="center"/>
    </xf>
    <xf numFmtId="0" fontId="53" fillId="0" borderId="1" xfId="13" applyFont="1"/>
    <xf numFmtId="3" fontId="64" fillId="0" borderId="1" xfId="13" applyNumberFormat="1" applyFont="1"/>
    <xf numFmtId="0" fontId="64" fillId="0" borderId="1" xfId="13" applyFont="1"/>
    <xf numFmtId="0" fontId="63" fillId="0" borderId="1" xfId="13" applyFont="1"/>
    <xf numFmtId="0" fontId="7" fillId="0" borderId="0" xfId="0" applyFont="1" applyAlignment="1">
      <alignment horizontal="center"/>
    </xf>
    <xf numFmtId="177" fontId="0" fillId="0" borderId="0" xfId="0" applyNumberFormat="1"/>
    <xf numFmtId="176" fontId="0" fillId="0" borderId="0" xfId="0" applyNumberFormat="1"/>
    <xf numFmtId="43" fontId="4" fillId="0" borderId="8" xfId="2" applyFont="1" applyBorder="1" applyAlignment="1">
      <alignment horizontal="right"/>
    </xf>
    <xf numFmtId="0" fontId="34" fillId="0" borderId="0" xfId="0" applyFont="1"/>
    <xf numFmtId="0" fontId="66" fillId="0" borderId="0" xfId="0" applyFont="1"/>
    <xf numFmtId="0" fontId="35" fillId="0" borderId="1" xfId="4" applyFont="1"/>
    <xf numFmtId="4" fontId="35" fillId="0" borderId="1" xfId="4" applyNumberFormat="1" applyFont="1"/>
    <xf numFmtId="10" fontId="35" fillId="0" borderId="0" xfId="3" applyNumberFormat="1" applyFont="1"/>
    <xf numFmtId="4" fontId="35" fillId="0" borderId="1" xfId="4" applyNumberFormat="1" applyFont="1" applyAlignment="1">
      <alignment vertical="center"/>
    </xf>
    <xf numFmtId="4" fontId="35" fillId="0" borderId="0" xfId="4" applyNumberFormat="1" applyFont="1" applyBorder="1"/>
    <xf numFmtId="0" fontId="35" fillId="0" borderId="1" xfId="0" applyFont="1" applyBorder="1"/>
    <xf numFmtId="0" fontId="35" fillId="0" borderId="0" xfId="4" applyFont="1" applyBorder="1"/>
    <xf numFmtId="10" fontId="35" fillId="0" borderId="0" xfId="4" applyNumberFormat="1" applyFont="1" applyBorder="1" applyAlignment="1">
      <alignment vertical="center"/>
    </xf>
    <xf numFmtId="10" fontId="35" fillId="0" borderId="1" xfId="3" applyNumberFormat="1" applyFont="1" applyBorder="1"/>
    <xf numFmtId="9" fontId="44" fillId="0" borderId="1" xfId="3" applyFont="1" applyBorder="1"/>
    <xf numFmtId="9" fontId="22" fillId="0" borderId="0" xfId="3" applyFont="1"/>
    <xf numFmtId="0" fontId="22" fillId="0" borderId="1" xfId="5" applyFont="1"/>
    <xf numFmtId="43" fontId="22" fillId="0" borderId="1" xfId="2" applyFont="1" applyBorder="1"/>
    <xf numFmtId="0" fontId="67" fillId="0" borderId="1" xfId="4" applyFont="1"/>
    <xf numFmtId="0" fontId="67" fillId="0" borderId="0" xfId="0" applyFont="1"/>
    <xf numFmtId="4" fontId="67" fillId="0" borderId="0" xfId="0" applyNumberFormat="1" applyFont="1"/>
    <xf numFmtId="9" fontId="67" fillId="0" borderId="1" xfId="3" applyFont="1" applyBorder="1"/>
    <xf numFmtId="9" fontId="33" fillId="0" borderId="1" xfId="9" applyFont="1"/>
    <xf numFmtId="0" fontId="7" fillId="0" borderId="0" xfId="0" applyFont="1" applyAlignment="1">
      <alignment vertical="center"/>
    </xf>
    <xf numFmtId="0" fontId="40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43" fontId="70" fillId="0" borderId="0" xfId="2" applyFont="1"/>
    <xf numFmtId="166" fontId="70" fillId="0" borderId="0" xfId="0" applyNumberFormat="1" applyFont="1"/>
    <xf numFmtId="0" fontId="45" fillId="0" borderId="0" xfId="0" applyFont="1" applyAlignment="1">
      <alignment vertical="center" wrapText="1"/>
    </xf>
    <xf numFmtId="43" fontId="12" fillId="0" borderId="1" xfId="2" applyFont="1" applyBorder="1"/>
    <xf numFmtId="49" fontId="15" fillId="0" borderId="1" xfId="12" applyNumberFormat="1" applyFont="1"/>
    <xf numFmtId="0" fontId="72" fillId="0" borderId="0" xfId="0" applyFont="1"/>
    <xf numFmtId="166" fontId="22" fillId="0" borderId="1" xfId="0" applyNumberFormat="1" applyFont="1" applyBorder="1"/>
    <xf numFmtId="0" fontId="70" fillId="0" borderId="1" xfId="0" applyFont="1" applyBorder="1"/>
    <xf numFmtId="0" fontId="74" fillId="0" borderId="0" xfId="0" applyFont="1" applyAlignment="1">
      <alignment horizontal="left" vertical="center" indent="2" readingOrder="1"/>
    </xf>
    <xf numFmtId="0" fontId="4" fillId="3" borderId="9" xfId="0" applyFont="1" applyFill="1" applyBorder="1"/>
    <xf numFmtId="43" fontId="4" fillId="3" borderId="9" xfId="2" applyFont="1" applyFill="1" applyBorder="1" applyAlignment="1">
      <alignment horizontal="right"/>
    </xf>
    <xf numFmtId="0" fontId="75" fillId="0" borderId="1" xfId="4" applyFont="1"/>
    <xf numFmtId="3" fontId="75" fillId="0" borderId="1" xfId="10" applyNumberFormat="1" applyFont="1" applyFill="1" applyBorder="1"/>
    <xf numFmtId="3" fontId="75" fillId="0" borderId="1" xfId="4" applyNumberFormat="1" applyFont="1"/>
    <xf numFmtId="0" fontId="76" fillId="0" borderId="0" xfId="0" applyFont="1"/>
    <xf numFmtId="0" fontId="22" fillId="0" borderId="1" xfId="0" applyFont="1" applyBorder="1"/>
    <xf numFmtId="166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166" fontId="22" fillId="0" borderId="1" xfId="0" applyNumberFormat="1" applyFont="1" applyBorder="1" applyAlignment="1">
      <alignment horizontal="right"/>
    </xf>
    <xf numFmtId="43" fontId="9" fillId="0" borderId="0" xfId="0" applyNumberFormat="1" applyFont="1"/>
    <xf numFmtId="0" fontId="80" fillId="9" borderId="0" xfId="0" applyFont="1" applyFill="1" applyAlignment="1">
      <alignment horizontal="left" vertical="center"/>
    </xf>
    <xf numFmtId="0" fontId="80" fillId="9" borderId="0" xfId="0" applyFont="1" applyFill="1" applyAlignment="1">
      <alignment horizontal="right" vertical="center"/>
    </xf>
    <xf numFmtId="4" fontId="80" fillId="9" borderId="0" xfId="0" applyNumberFormat="1" applyFont="1" applyFill="1" applyAlignment="1">
      <alignment horizontal="right" vertical="center"/>
    </xf>
    <xf numFmtId="0" fontId="11" fillId="5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174" fontId="9" fillId="9" borderId="1" xfId="2" applyNumberFormat="1" applyFont="1" applyFill="1" applyBorder="1"/>
    <xf numFmtId="43" fontId="9" fillId="9" borderId="1" xfId="2" applyFont="1" applyFill="1" applyBorder="1"/>
    <xf numFmtId="166" fontId="10" fillId="8" borderId="1" xfId="0" applyNumberFormat="1" applyFont="1" applyFill="1" applyBorder="1" applyAlignment="1">
      <alignment horizontal="center"/>
    </xf>
    <xf numFmtId="166" fontId="9" fillId="9" borderId="1" xfId="0" applyNumberFormat="1" applyFont="1" applyFill="1" applyBorder="1" applyAlignment="1">
      <alignment horizontal="left"/>
    </xf>
    <xf numFmtId="165" fontId="9" fillId="9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5" fontId="4" fillId="10" borderId="1" xfId="0" applyNumberFormat="1" applyFont="1" applyFill="1" applyBorder="1" applyAlignment="1">
      <alignment horizontal="left"/>
    </xf>
    <xf numFmtId="166" fontId="10" fillId="8" borderId="1" xfId="0" applyNumberFormat="1" applyFont="1" applyFill="1" applyBorder="1" applyAlignment="1">
      <alignment horizontal="center" vertical="center"/>
    </xf>
    <xf numFmtId="166" fontId="11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/>
    <xf numFmtId="0" fontId="0" fillId="0" borderId="0" xfId="0"/>
    <xf numFmtId="0" fontId="14" fillId="0" borderId="0" xfId="0" applyFont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41" fillId="0" borderId="1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1" fillId="0" borderId="0" xfId="0" applyFont="1"/>
    <xf numFmtId="0" fontId="11" fillId="12" borderId="21" xfId="0" applyFont="1" applyFill="1" applyBorder="1" applyAlignment="1">
      <alignment vertical="center" wrapText="1"/>
    </xf>
    <xf numFmtId="0" fontId="11" fillId="12" borderId="21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9" fillId="0" borderId="21" xfId="0" applyFont="1" applyBorder="1" applyAlignment="1">
      <alignment horizontal="right" wrapText="1"/>
    </xf>
    <xf numFmtId="0" fontId="4" fillId="13" borderId="21" xfId="0" applyFont="1" applyFill="1" applyBorder="1" applyAlignment="1">
      <alignment wrapText="1"/>
    </xf>
    <xf numFmtId="0" fontId="10" fillId="14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0" fillId="14" borderId="21" xfId="0" applyFont="1" applyFill="1" applyBorder="1" applyAlignment="1">
      <alignment horizontal="center" vertical="center"/>
    </xf>
    <xf numFmtId="0" fontId="10" fillId="14" borderId="21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left" vertical="center"/>
    </xf>
    <xf numFmtId="0" fontId="4" fillId="3" borderId="21" xfId="0" applyFont="1" applyFill="1" applyBorder="1"/>
    <xf numFmtId="174" fontId="4" fillId="3" borderId="21" xfId="2" applyNumberFormat="1" applyFont="1" applyFill="1" applyBorder="1"/>
    <xf numFmtId="0" fontId="10" fillId="14" borderId="22" xfId="0" applyFont="1" applyFill="1" applyBorder="1" applyAlignment="1">
      <alignment horizontal="center" vertical="center"/>
    </xf>
    <xf numFmtId="0" fontId="10" fillId="14" borderId="22" xfId="0" applyFont="1" applyFill="1" applyBorder="1" applyAlignment="1">
      <alignment horizontal="center" vertical="center" wrapText="1"/>
    </xf>
    <xf numFmtId="0" fontId="4" fillId="3" borderId="23" xfId="0" applyFont="1" applyFill="1" applyBorder="1"/>
    <xf numFmtId="174" fontId="4" fillId="3" borderId="23" xfId="2" applyNumberFormat="1" applyFont="1" applyFill="1" applyBorder="1"/>
    <xf numFmtId="43" fontId="4" fillId="3" borderId="23" xfId="2" applyFont="1" applyFill="1" applyBorder="1"/>
    <xf numFmtId="0" fontId="15" fillId="0" borderId="21" xfId="0" applyFont="1" applyBorder="1" applyAlignment="1">
      <alignment horizontal="right" vertical="center"/>
    </xf>
    <xf numFmtId="2" fontId="15" fillId="0" borderId="21" xfId="0" applyNumberFormat="1" applyFont="1" applyBorder="1" applyAlignment="1">
      <alignment horizontal="right" vertical="center"/>
    </xf>
    <xf numFmtId="1" fontId="15" fillId="0" borderId="21" xfId="0" applyNumberFormat="1" applyFont="1" applyBorder="1" applyAlignment="1">
      <alignment horizontal="right" vertical="center"/>
    </xf>
    <xf numFmtId="2" fontId="9" fillId="0" borderId="8" xfId="2" applyNumberFormat="1" applyFont="1" applyBorder="1" applyAlignment="1">
      <alignment horizontal="right"/>
    </xf>
    <xf numFmtId="2" fontId="9" fillId="0" borderId="14" xfId="2" applyNumberFormat="1" applyFont="1" applyBorder="1" applyAlignment="1">
      <alignment horizontal="right"/>
    </xf>
    <xf numFmtId="2" fontId="9" fillId="0" borderId="13" xfId="2" applyNumberFormat="1" applyFont="1" applyBorder="1" applyAlignment="1">
      <alignment horizontal="right"/>
    </xf>
    <xf numFmtId="2" fontId="1" fillId="0" borderId="21" xfId="0" applyNumberFormat="1" applyFont="1" applyBorder="1" applyAlignment="1">
      <alignment wrapText="1"/>
    </xf>
    <xf numFmtId="2" fontId="9" fillId="0" borderId="21" xfId="0" applyNumberFormat="1" applyFont="1" applyBorder="1" applyAlignment="1">
      <alignment horizontal="right" wrapText="1"/>
    </xf>
    <xf numFmtId="2" fontId="4" fillId="13" borderId="21" xfId="0" applyNumberFormat="1" applyFont="1" applyFill="1" applyBorder="1" applyAlignment="1">
      <alignment horizontal="right" wrapText="1"/>
    </xf>
    <xf numFmtId="0" fontId="10" fillId="14" borderId="11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2" fillId="15" borderId="4" xfId="0" applyFont="1" applyFill="1" applyBorder="1"/>
    <xf numFmtId="0" fontId="12" fillId="15" borderId="5" xfId="0" applyFont="1" applyFill="1" applyBorder="1"/>
    <xf numFmtId="0" fontId="12" fillId="15" borderId="6" xfId="0" applyFont="1" applyFill="1" applyBorder="1"/>
    <xf numFmtId="0" fontId="15" fillId="6" borderId="21" xfId="0" applyFont="1" applyFill="1" applyBorder="1" applyAlignment="1">
      <alignment horizontal="left" vertical="center"/>
    </xf>
    <xf numFmtId="3" fontId="15" fillId="6" borderId="21" xfId="0" applyNumberFormat="1" applyFont="1" applyFill="1" applyBorder="1" applyAlignment="1">
      <alignment horizontal="right" vertical="center"/>
    </xf>
    <xf numFmtId="4" fontId="15" fillId="6" borderId="21" xfId="0" applyNumberFormat="1" applyFont="1" applyFill="1" applyBorder="1" applyAlignment="1">
      <alignment horizontal="right" vertical="center"/>
    </xf>
    <xf numFmtId="0" fontId="15" fillId="6" borderId="21" xfId="0" applyFont="1" applyFill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4" fontId="9" fillId="0" borderId="21" xfId="0" applyNumberFormat="1" applyFont="1" applyBorder="1" applyAlignment="1">
      <alignment horizontal="right" vertical="center"/>
    </xf>
    <xf numFmtId="0" fontId="38" fillId="6" borderId="21" xfId="0" applyFont="1" applyFill="1" applyBorder="1" applyAlignment="1">
      <alignment horizontal="left" vertical="center"/>
    </xf>
    <xf numFmtId="3" fontId="38" fillId="6" borderId="21" xfId="0" applyNumberFormat="1" applyFont="1" applyFill="1" applyBorder="1" applyAlignment="1">
      <alignment horizontal="right" vertical="center"/>
    </xf>
    <xf numFmtId="4" fontId="38" fillId="6" borderId="21" xfId="0" applyNumberFormat="1" applyFont="1" applyFill="1" applyBorder="1" applyAlignment="1">
      <alignment horizontal="right" vertical="center"/>
    </xf>
    <xf numFmtId="3" fontId="80" fillId="6" borderId="21" xfId="0" applyNumberFormat="1" applyFont="1" applyFill="1" applyBorder="1" applyAlignment="1">
      <alignment horizontal="right" vertical="center"/>
    </xf>
    <xf numFmtId="4" fontId="80" fillId="6" borderId="21" xfId="0" applyNumberFormat="1" applyFont="1" applyFill="1" applyBorder="1" applyAlignment="1">
      <alignment horizontal="right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left" vertical="center"/>
    </xf>
    <xf numFmtId="3" fontId="17" fillId="7" borderId="21" xfId="0" applyNumberFormat="1" applyFont="1" applyFill="1" applyBorder="1" applyAlignment="1">
      <alignment horizontal="right" vertical="center"/>
    </xf>
    <xf numFmtId="4" fontId="17" fillId="7" borderId="21" xfId="0" applyNumberFormat="1" applyFont="1" applyFill="1" applyBorder="1" applyAlignment="1">
      <alignment horizontal="right" vertical="center"/>
    </xf>
    <xf numFmtId="0" fontId="78" fillId="5" borderId="21" xfId="0" applyFont="1" applyFill="1" applyBorder="1" applyAlignment="1">
      <alignment horizontal="center" vertical="center"/>
    </xf>
    <xf numFmtId="0" fontId="78" fillId="5" borderId="21" xfId="0" applyFont="1" applyFill="1" applyBorder="1" applyAlignment="1">
      <alignment horizontal="center" vertical="center" wrapText="1"/>
    </xf>
    <xf numFmtId="0" fontId="79" fillId="5" borderId="21" xfId="0" applyFont="1" applyFill="1" applyBorder="1" applyAlignment="1">
      <alignment horizontal="center" vertical="center"/>
    </xf>
    <xf numFmtId="0" fontId="80" fillId="7" borderId="21" xfId="0" applyFont="1" applyFill="1" applyBorder="1" applyAlignment="1">
      <alignment horizontal="left" vertical="center"/>
    </xf>
    <xf numFmtId="3" fontId="80" fillId="7" borderId="21" xfId="0" applyNumberFormat="1" applyFont="1" applyFill="1" applyBorder="1" applyAlignment="1">
      <alignment horizontal="right" vertical="center"/>
    </xf>
    <xf numFmtId="4" fontId="80" fillId="7" borderId="21" xfId="0" applyNumberFormat="1" applyFont="1" applyFill="1" applyBorder="1" applyAlignment="1">
      <alignment horizontal="right" vertical="center"/>
    </xf>
    <xf numFmtId="4" fontId="1" fillId="0" borderId="21" xfId="0" applyNumberFormat="1" applyFont="1" applyBorder="1" applyAlignment="1">
      <alignment wrapText="1"/>
    </xf>
    <xf numFmtId="4" fontId="9" fillId="0" borderId="21" xfId="0" applyNumberFormat="1" applyFont="1" applyBorder="1" applyAlignment="1">
      <alignment wrapText="1"/>
    </xf>
    <xf numFmtId="4" fontId="9" fillId="0" borderId="21" xfId="0" applyNumberFormat="1" applyFont="1" applyBorder="1" applyAlignment="1">
      <alignment horizontal="right" wrapText="1"/>
    </xf>
    <xf numFmtId="3" fontId="1" fillId="0" borderId="21" xfId="0" applyNumberFormat="1" applyFont="1" applyBorder="1" applyAlignment="1">
      <alignment wrapText="1"/>
    </xf>
    <xf numFmtId="3" fontId="9" fillId="0" borderId="21" xfId="0" applyNumberFormat="1" applyFont="1" applyBorder="1" applyAlignment="1">
      <alignment horizontal="right" wrapText="1"/>
    </xf>
    <xf numFmtId="3" fontId="9" fillId="0" borderId="21" xfId="0" applyNumberFormat="1" applyFont="1" applyBorder="1" applyAlignment="1">
      <alignment wrapText="1"/>
    </xf>
    <xf numFmtId="0" fontId="5" fillId="9" borderId="0" xfId="0" applyFont="1" applyFill="1"/>
    <xf numFmtId="0" fontId="10" fillId="11" borderId="21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 wrapText="1"/>
    </xf>
    <xf numFmtId="0" fontId="11" fillId="11" borderId="21" xfId="0" applyFont="1" applyFill="1" applyBorder="1" applyAlignment="1">
      <alignment horizontal="center" vertical="center"/>
    </xf>
    <xf numFmtId="0" fontId="9" fillId="0" borderId="21" xfId="0" applyFont="1" applyBorder="1"/>
    <xf numFmtId="0" fontId="1" fillId="0" borderId="21" xfId="0" applyFont="1" applyBorder="1" applyAlignment="1">
      <alignment horizontal="right" wrapText="1"/>
    </xf>
    <xf numFmtId="0" fontId="77" fillId="0" borderId="21" xfId="0" applyFont="1" applyBorder="1" applyAlignment="1">
      <alignment horizontal="right" wrapText="1"/>
    </xf>
    <xf numFmtId="166" fontId="4" fillId="3" borderId="21" xfId="0" applyNumberFormat="1" applyFont="1" applyFill="1" applyBorder="1" applyAlignment="1">
      <alignment horizontal="left"/>
    </xf>
    <xf numFmtId="0" fontId="10" fillId="11" borderId="21" xfId="0" applyFont="1" applyFill="1" applyBorder="1" applyAlignment="1">
      <alignment horizontal="center" vertical="center"/>
    </xf>
    <xf numFmtId="166" fontId="4" fillId="3" borderId="21" xfId="0" applyNumberFormat="1" applyFont="1" applyFill="1" applyBorder="1"/>
    <xf numFmtId="0" fontId="77" fillId="0" borderId="21" xfId="0" applyFont="1" applyBorder="1" applyAlignment="1">
      <alignment wrapText="1"/>
    </xf>
    <xf numFmtId="0" fontId="17" fillId="3" borderId="21" xfId="0" applyFont="1" applyFill="1" applyBorder="1"/>
    <xf numFmtId="166" fontId="17" fillId="3" borderId="21" xfId="0" applyNumberFormat="1" applyFont="1" applyFill="1" applyBorder="1"/>
    <xf numFmtId="0" fontId="10" fillId="11" borderId="21" xfId="0" applyFont="1" applyFill="1" applyBorder="1" applyAlignment="1">
      <alignment horizontal="center" vertical="center" wrapText="1"/>
    </xf>
    <xf numFmtId="0" fontId="12" fillId="5" borderId="21" xfId="0" applyFont="1" applyFill="1" applyBorder="1"/>
    <xf numFmtId="0" fontId="11" fillId="11" borderId="21" xfId="0" applyFont="1" applyFill="1" applyBorder="1" applyAlignment="1">
      <alignment horizontal="center" vertical="center" wrapText="1"/>
    </xf>
    <xf numFmtId="166" fontId="15" fillId="0" borderId="21" xfId="0" applyNumberFormat="1" applyFont="1" applyBorder="1" applyAlignment="1">
      <alignment horizontal="right"/>
    </xf>
    <xf numFmtId="0" fontId="10" fillId="8" borderId="18" xfId="0" applyFont="1" applyFill="1" applyBorder="1" applyAlignment="1">
      <alignment horizontal="center" vertical="center" wrapText="1"/>
    </xf>
    <xf numFmtId="0" fontId="0" fillId="0" borderId="1" xfId="0" applyBorder="1"/>
    <xf numFmtId="0" fontId="11" fillId="11" borderId="21" xfId="0" applyFont="1" applyFill="1" applyBorder="1" applyAlignment="1">
      <alignment horizontal="center" wrapText="1"/>
    </xf>
    <xf numFmtId="0" fontId="11" fillId="11" borderId="21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 wrapText="1"/>
    </xf>
    <xf numFmtId="0" fontId="4" fillId="0" borderId="21" xfId="0" applyFont="1" applyBorder="1" applyAlignment="1">
      <alignment horizontal="right" wrapText="1"/>
    </xf>
    <xf numFmtId="0" fontId="13" fillId="0" borderId="12" xfId="0" applyFont="1" applyBorder="1" applyAlignment="1">
      <alignment horizontal="left"/>
    </xf>
    <xf numFmtId="0" fontId="7" fillId="0" borderId="12" xfId="0" applyFont="1" applyBorder="1"/>
    <xf numFmtId="0" fontId="21" fillId="11" borderId="21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vertical="center"/>
    </xf>
    <xf numFmtId="3" fontId="4" fillId="3" borderId="21" xfId="0" applyNumberFormat="1" applyFont="1" applyFill="1" applyBorder="1"/>
    <xf numFmtId="0" fontId="10" fillId="8" borderId="18" xfId="0" applyFont="1" applyFill="1" applyBorder="1" applyAlignment="1">
      <alignment horizontal="center"/>
    </xf>
    <xf numFmtId="0" fontId="7" fillId="0" borderId="1" xfId="0" applyFont="1" applyBorder="1"/>
    <xf numFmtId="0" fontId="10" fillId="11" borderId="21" xfId="0" applyFont="1" applyFill="1" applyBorder="1" applyAlignment="1">
      <alignment horizontal="center"/>
    </xf>
    <xf numFmtId="0" fontId="19" fillId="5" borderId="21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/>
    </xf>
    <xf numFmtId="0" fontId="82" fillId="0" borderId="21" xfId="0" applyFont="1" applyBorder="1" applyAlignment="1">
      <alignment wrapText="1"/>
    </xf>
    <xf numFmtId="0" fontId="48" fillId="11" borderId="21" xfId="0" applyFont="1" applyFill="1" applyBorder="1" applyAlignment="1">
      <alignment horizontal="center" vertical="center" wrapText="1"/>
    </xf>
    <xf numFmtId="49" fontId="10" fillId="11" borderId="21" xfId="0" applyNumberFormat="1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/>
    </xf>
    <xf numFmtId="0" fontId="9" fillId="0" borderId="21" xfId="0" applyFont="1" applyBorder="1" applyAlignment="1">
      <alignment horizontal="right" vertical="center" wrapText="1"/>
    </xf>
    <xf numFmtId="0" fontId="1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right" vertical="center" wrapText="1"/>
    </xf>
    <xf numFmtId="166" fontId="17" fillId="3" borderId="21" xfId="0" applyNumberFormat="1" applyFont="1" applyFill="1" applyBorder="1" applyAlignment="1">
      <alignment vertical="center"/>
    </xf>
    <xf numFmtId="0" fontId="83" fillId="11" borderId="21" xfId="0" applyFont="1" applyFill="1" applyBorder="1" applyAlignment="1">
      <alignment horizontal="center" vertical="center" wrapText="1"/>
    </xf>
    <xf numFmtId="0" fontId="84" fillId="0" borderId="21" xfId="0" applyFont="1" applyBorder="1" applyAlignment="1">
      <alignment wrapText="1"/>
    </xf>
    <xf numFmtId="0" fontId="84" fillId="0" borderId="21" xfId="0" applyFont="1" applyBorder="1" applyAlignment="1">
      <alignment horizontal="right" wrapText="1"/>
    </xf>
    <xf numFmtId="0" fontId="85" fillId="3" borderId="21" xfId="0" applyFont="1" applyFill="1" applyBorder="1"/>
    <xf numFmtId="174" fontId="3" fillId="3" borderId="21" xfId="2" applyNumberFormat="1" applyFont="1" applyFill="1" applyBorder="1" applyAlignment="1">
      <alignment horizontal="right"/>
    </xf>
    <xf numFmtId="0" fontId="11" fillId="5" borderId="21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wrapText="1"/>
    </xf>
    <xf numFmtId="4" fontId="4" fillId="4" borderId="21" xfId="0" applyNumberFormat="1" applyFont="1" applyFill="1" applyBorder="1" applyAlignment="1">
      <alignment horizontal="right" wrapText="1"/>
    </xf>
    <xf numFmtId="2" fontId="4" fillId="4" borderId="21" xfId="0" applyNumberFormat="1" applyFont="1" applyFill="1" applyBorder="1" applyAlignment="1">
      <alignment horizontal="right" wrapText="1"/>
    </xf>
    <xf numFmtId="0" fontId="4" fillId="4" borderId="21" xfId="0" applyFont="1" applyFill="1" applyBorder="1" applyAlignment="1">
      <alignment horizontal="right" wrapText="1"/>
    </xf>
    <xf numFmtId="174" fontId="4" fillId="0" borderId="21" xfId="2" applyNumberFormat="1" applyFont="1" applyBorder="1"/>
    <xf numFmtId="3" fontId="1" fillId="0" borderId="21" xfId="0" applyNumberFormat="1" applyFont="1" applyBorder="1" applyAlignment="1">
      <alignment horizontal="right" wrapText="1"/>
    </xf>
    <xf numFmtId="3" fontId="4" fillId="0" borderId="21" xfId="0" applyNumberFormat="1" applyFont="1" applyBorder="1" applyAlignment="1">
      <alignment horizontal="right" wrapText="1"/>
    </xf>
    <xf numFmtId="0" fontId="4" fillId="13" borderId="21" xfId="0" applyFont="1" applyFill="1" applyBorder="1" applyAlignment="1">
      <alignment wrapText="1"/>
    </xf>
    <xf numFmtId="3" fontId="4" fillId="13" borderId="21" xfId="0" applyNumberFormat="1" applyFont="1" applyFill="1" applyBorder="1" applyAlignment="1">
      <alignment horizontal="right" wrapText="1"/>
    </xf>
    <xf numFmtId="0" fontId="10" fillId="14" borderId="21" xfId="0" applyFont="1" applyFill="1" applyBorder="1" applyAlignment="1">
      <alignment horizontal="center" vertical="center"/>
    </xf>
    <xf numFmtId="0" fontId="12" fillId="15" borderId="21" xfId="0" applyFont="1" applyFill="1" applyBorder="1"/>
    <xf numFmtId="44" fontId="9" fillId="0" borderId="21" xfId="0" applyNumberFormat="1" applyFont="1" applyBorder="1"/>
    <xf numFmtId="2" fontId="9" fillId="0" borderId="21" xfId="2" applyNumberFormat="1" applyFont="1" applyBorder="1" applyAlignment="1">
      <alignment horizontal="right"/>
    </xf>
    <xf numFmtId="43" fontId="4" fillId="0" borderId="21" xfId="2" applyFont="1" applyFill="1" applyBorder="1" applyAlignment="1">
      <alignment horizontal="right"/>
    </xf>
    <xf numFmtId="43" fontId="4" fillId="3" borderId="21" xfId="2" applyFont="1" applyFill="1" applyBorder="1" applyAlignment="1">
      <alignment horizontal="right"/>
    </xf>
    <xf numFmtId="0" fontId="9" fillId="0" borderId="2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166" fontId="9" fillId="0" borderId="21" xfId="0" applyNumberFormat="1" applyFont="1" applyBorder="1" applyAlignment="1">
      <alignment horizontal="right" vertical="center"/>
    </xf>
    <xf numFmtId="166" fontId="4" fillId="3" borderId="21" xfId="0" applyNumberFormat="1" applyFont="1" applyFill="1" applyBorder="1" applyAlignment="1">
      <alignment horizontal="right" vertical="center"/>
    </xf>
    <xf numFmtId="0" fontId="53" fillId="0" borderId="21" xfId="5" applyFont="1" applyBorder="1"/>
    <xf numFmtId="0" fontId="10" fillId="17" borderId="21" xfId="4" applyFont="1" applyFill="1" applyBorder="1" applyAlignment="1">
      <alignment horizontal="center" vertical="center" wrapText="1"/>
    </xf>
    <xf numFmtId="4" fontId="10" fillId="17" borderId="21" xfId="4" applyNumberFormat="1" applyFont="1" applyFill="1" applyBorder="1" applyAlignment="1">
      <alignment horizontal="center"/>
    </xf>
    <xf numFmtId="0" fontId="44" fillId="0" borderId="21" xfId="4" applyFont="1" applyBorder="1" applyAlignment="1">
      <alignment horizontal="left" vertical="center" wrapText="1"/>
    </xf>
    <xf numFmtId="43" fontId="44" fillId="0" borderId="21" xfId="8" applyFont="1" applyBorder="1" applyAlignment="1">
      <alignment horizontal="right"/>
    </xf>
    <xf numFmtId="0" fontId="44" fillId="0" borderId="21" xfId="4" applyFont="1" applyBorder="1"/>
    <xf numFmtId="43" fontId="44" fillId="0" borderId="21" xfId="8" applyFont="1" applyFill="1" applyBorder="1" applyAlignment="1">
      <alignment horizontal="right"/>
    </xf>
    <xf numFmtId="0" fontId="47" fillId="4" borderId="21" xfId="7" applyFont="1" applyFill="1" applyBorder="1"/>
    <xf numFmtId="43" fontId="47" fillId="4" borderId="21" xfId="8" applyFont="1" applyFill="1" applyBorder="1" applyAlignment="1">
      <alignment vertical="center"/>
    </xf>
    <xf numFmtId="0" fontId="53" fillId="0" borderId="26" xfId="0" applyFont="1" applyBorder="1"/>
    <xf numFmtId="0" fontId="57" fillId="0" borderId="27" xfId="0" applyFont="1" applyBorder="1"/>
    <xf numFmtId="4" fontId="53" fillId="0" borderId="28" xfId="0" applyNumberFormat="1" applyFont="1" applyBorder="1" applyAlignment="1">
      <alignment horizontal="right"/>
    </xf>
    <xf numFmtId="0" fontId="53" fillId="0" borderId="29" xfId="0" applyFont="1" applyBorder="1"/>
    <xf numFmtId="0" fontId="57" fillId="0" borderId="1" xfId="0" applyFont="1" applyBorder="1"/>
    <xf numFmtId="4" fontId="53" fillId="0" borderId="30" xfId="0" applyNumberFormat="1" applyFont="1" applyBorder="1" applyAlignment="1">
      <alignment horizontal="right"/>
    </xf>
    <xf numFmtId="4" fontId="53" fillId="0" borderId="30" xfId="0" applyNumberFormat="1" applyFont="1" applyBorder="1"/>
    <xf numFmtId="0" fontId="57" fillId="0" borderId="1" xfId="0" applyFont="1" applyBorder="1" applyAlignment="1">
      <alignment horizontal="left"/>
    </xf>
    <xf numFmtId="0" fontId="53" fillId="0" borderId="29" xfId="0" applyFont="1" applyBorder="1" applyAlignment="1">
      <alignment horizontal="left"/>
    </xf>
    <xf numFmtId="0" fontId="53" fillId="16" borderId="31" xfId="0" applyFont="1" applyFill="1" applyBorder="1"/>
    <xf numFmtId="4" fontId="53" fillId="16" borderId="32" xfId="0" applyNumberFormat="1" applyFont="1" applyFill="1" applyBorder="1"/>
    <xf numFmtId="4" fontId="56" fillId="16" borderId="33" xfId="0" applyNumberFormat="1" applyFont="1" applyFill="1" applyBorder="1"/>
    <xf numFmtId="0" fontId="11" fillId="17" borderId="21" xfId="7" applyFont="1" applyFill="1" applyBorder="1" applyAlignment="1">
      <alignment horizontal="center" vertical="center"/>
    </xf>
    <xf numFmtId="4" fontId="22" fillId="0" borderId="1" xfId="4" applyNumberFormat="1" applyFont="1" applyBorder="1"/>
    <xf numFmtId="0" fontId="10" fillId="19" borderId="21" xfId="0" applyFont="1" applyFill="1" applyBorder="1" applyAlignment="1">
      <alignment horizontal="center" vertical="center" wrapText="1"/>
    </xf>
    <xf numFmtId="4" fontId="10" fillId="19" borderId="21" xfId="0" applyNumberFormat="1" applyFont="1" applyFill="1" applyBorder="1" applyAlignment="1">
      <alignment horizontal="center"/>
    </xf>
    <xf numFmtId="0" fontId="53" fillId="0" borderId="21" xfId="0" applyFont="1" applyBorder="1" applyAlignment="1">
      <alignment horizontal="left" vertical="center" wrapText="1"/>
    </xf>
    <xf numFmtId="4" fontId="53" fillId="0" borderId="21" xfId="0" applyNumberFormat="1" applyFont="1" applyBorder="1" applyAlignment="1">
      <alignment horizontal="right"/>
    </xf>
    <xf numFmtId="0" fontId="53" fillId="0" borderId="21" xfId="0" applyFont="1" applyBorder="1"/>
    <xf numFmtId="0" fontId="56" fillId="18" borderId="21" xfId="0" applyFont="1" applyFill="1" applyBorder="1" applyAlignment="1">
      <alignment vertical="center"/>
    </xf>
    <xf numFmtId="4" fontId="56" fillId="18" borderId="21" xfId="0" applyNumberFormat="1" applyFont="1" applyFill="1" applyBorder="1" applyAlignment="1">
      <alignment vertical="center"/>
    </xf>
    <xf numFmtId="0" fontId="11" fillId="17" borderId="21" xfId="0" applyFont="1" applyFill="1" applyBorder="1" applyAlignment="1">
      <alignment horizontal="center" vertical="center"/>
    </xf>
    <xf numFmtId="4" fontId="53" fillId="0" borderId="29" xfId="0" applyNumberFormat="1" applyFont="1" applyBorder="1"/>
    <xf numFmtId="0" fontId="53" fillId="0" borderId="30" xfId="0" applyFont="1" applyBorder="1"/>
    <xf numFmtId="0" fontId="53" fillId="0" borderId="36" xfId="0" applyFont="1" applyBorder="1"/>
    <xf numFmtId="0" fontId="57" fillId="0" borderId="37" xfId="0" applyFont="1" applyBorder="1"/>
    <xf numFmtId="4" fontId="53" fillId="0" borderId="38" xfId="0" applyNumberFormat="1" applyFont="1" applyBorder="1" applyAlignment="1">
      <alignment horizontal="right"/>
    </xf>
    <xf numFmtId="0" fontId="47" fillId="18" borderId="39" xfId="0" applyFont="1" applyFill="1" applyBorder="1"/>
    <xf numFmtId="0" fontId="47" fillId="18" borderId="40" xfId="0" applyFont="1" applyFill="1" applyBorder="1"/>
    <xf numFmtId="4" fontId="47" fillId="18" borderId="41" xfId="0" applyNumberFormat="1" applyFont="1" applyFill="1" applyBorder="1"/>
    <xf numFmtId="0" fontId="36" fillId="17" borderId="21" xfId="0" applyFont="1" applyFill="1" applyBorder="1" applyAlignment="1">
      <alignment vertical="center" wrapText="1"/>
    </xf>
    <xf numFmtId="0" fontId="36" fillId="17" borderId="21" xfId="0" applyFont="1" applyFill="1" applyBorder="1" applyAlignment="1">
      <alignment horizontal="center" vertical="center"/>
    </xf>
    <xf numFmtId="4" fontId="36" fillId="17" borderId="21" xfId="0" applyNumberFormat="1" applyFont="1" applyFill="1" applyBorder="1" applyAlignment="1">
      <alignment horizontal="center" vertical="center"/>
    </xf>
    <xf numFmtId="0" fontId="53" fillId="0" borderId="21" xfId="0" applyFont="1" applyBorder="1" applyAlignment="1">
      <alignment vertical="center" wrapText="1"/>
    </xf>
    <xf numFmtId="4" fontId="53" fillId="0" borderId="21" xfId="0" applyNumberFormat="1" applyFont="1" applyBorder="1"/>
    <xf numFmtId="4" fontId="56" fillId="18" borderId="21" xfId="0" applyNumberFormat="1" applyFont="1" applyFill="1" applyBorder="1" applyAlignment="1">
      <alignment horizontal="right"/>
    </xf>
    <xf numFmtId="0" fontId="56" fillId="0" borderId="42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18" borderId="39" xfId="0" applyFont="1" applyFill="1" applyBorder="1" applyAlignment="1">
      <alignment horizontal="center"/>
    </xf>
    <xf numFmtId="0" fontId="56" fillId="18" borderId="40" xfId="0" applyFont="1" applyFill="1" applyBorder="1" applyAlignment="1">
      <alignment horizontal="center"/>
    </xf>
    <xf numFmtId="0" fontId="56" fillId="18" borderId="41" xfId="0" applyFont="1" applyFill="1" applyBorder="1" applyAlignment="1">
      <alignment horizontal="center"/>
    </xf>
    <xf numFmtId="0" fontId="44" fillId="0" borderId="1" xfId="7" applyFont="1" applyFill="1"/>
    <xf numFmtId="0" fontId="45" fillId="0" borderId="1" xfId="4" applyFill="1"/>
    <xf numFmtId="0" fontId="20" fillId="0" borderId="1" xfId="4" applyFont="1" applyFill="1"/>
    <xf numFmtId="0" fontId="13" fillId="0" borderId="26" xfId="0" applyFont="1" applyBorder="1"/>
    <xf numFmtId="4" fontId="53" fillId="0" borderId="28" xfId="0" applyNumberFormat="1" applyFont="1" applyBorder="1"/>
    <xf numFmtId="0" fontId="13" fillId="0" borderId="29" xfId="0" applyFont="1" applyBorder="1"/>
    <xf numFmtId="0" fontId="13" fillId="0" borderId="36" xfId="0" applyFont="1" applyBorder="1"/>
    <xf numFmtId="4" fontId="53" fillId="0" borderId="38" xfId="0" applyNumberFormat="1" applyFont="1" applyBorder="1"/>
    <xf numFmtId="0" fontId="56" fillId="0" borderId="39" xfId="0" applyFont="1" applyBorder="1" applyAlignment="1">
      <alignment vertical="center"/>
    </xf>
    <xf numFmtId="0" fontId="56" fillId="18" borderId="39" xfId="0" applyFont="1" applyFill="1" applyBorder="1" applyAlignment="1">
      <alignment vertical="center"/>
    </xf>
    <xf numFmtId="4" fontId="56" fillId="18" borderId="40" xfId="0" applyNumberFormat="1" applyFont="1" applyFill="1" applyBorder="1" applyAlignment="1">
      <alignment vertical="center"/>
    </xf>
    <xf numFmtId="4" fontId="56" fillId="18" borderId="41" xfId="0" applyNumberFormat="1" applyFont="1" applyFill="1" applyBorder="1" applyAlignment="1">
      <alignment vertical="center"/>
    </xf>
    <xf numFmtId="0" fontId="11" fillId="17" borderId="34" xfId="7" applyFont="1" applyFill="1" applyBorder="1" applyAlignment="1">
      <alignment horizontal="left" vertical="center" wrapText="1"/>
    </xf>
    <xf numFmtId="0" fontId="11" fillId="17" borderId="43" xfId="7" applyFont="1" applyFill="1" applyBorder="1" applyAlignment="1">
      <alignment horizontal="left" vertical="center" wrapText="1"/>
    </xf>
    <xf numFmtId="4" fontId="10" fillId="17" borderId="35" xfId="4" applyNumberFormat="1" applyFont="1" applyFill="1" applyBorder="1" applyAlignment="1">
      <alignment horizontal="center" vertical="center"/>
    </xf>
    <xf numFmtId="0" fontId="56" fillId="0" borderId="29" xfId="0" applyFont="1" applyBorder="1" applyAlignment="1">
      <alignment vertical="center" wrapText="1"/>
    </xf>
    <xf numFmtId="0" fontId="53" fillId="0" borderId="1" xfId="0" applyFont="1" applyBorder="1" applyAlignment="1">
      <alignment vertical="center" wrapText="1"/>
    </xf>
    <xf numFmtId="0" fontId="53" fillId="0" borderId="1" xfId="0" applyFont="1" applyBorder="1" applyAlignment="1">
      <alignment vertical="center"/>
    </xf>
    <xf numFmtId="4" fontId="53" fillId="0" borderId="30" xfId="0" applyNumberFormat="1" applyFont="1" applyBorder="1" applyAlignment="1">
      <alignment vertical="center"/>
    </xf>
    <xf numFmtId="0" fontId="56" fillId="0" borderId="29" xfId="0" applyFont="1" applyBorder="1"/>
    <xf numFmtId="0" fontId="56" fillId="0" borderId="29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/>
    </xf>
    <xf numFmtId="0" fontId="53" fillId="0" borderId="1" xfId="0" applyFont="1" applyBorder="1"/>
    <xf numFmtId="4" fontId="56" fillId="0" borderId="30" xfId="0" applyNumberFormat="1" applyFont="1" applyBorder="1"/>
    <xf numFmtId="0" fontId="53" fillId="0" borderId="37" xfId="0" applyFont="1" applyBorder="1"/>
    <xf numFmtId="0" fontId="53" fillId="18" borderId="40" xfId="0" applyFont="1" applyFill="1" applyBorder="1" applyAlignment="1">
      <alignment vertical="center"/>
    </xf>
    <xf numFmtId="0" fontId="10" fillId="17" borderId="21" xfId="4" applyFont="1" applyFill="1" applyBorder="1" applyAlignment="1">
      <alignment horizontal="center" vertical="center"/>
    </xf>
    <xf numFmtId="4" fontId="10" fillId="17" borderId="21" xfId="4" applyNumberFormat="1" applyFont="1" applyFill="1" applyBorder="1" applyAlignment="1">
      <alignment horizontal="center" vertical="center"/>
    </xf>
    <xf numFmtId="0" fontId="56" fillId="0" borderId="26" xfId="0" applyFont="1" applyBorder="1" applyAlignment="1">
      <alignment vertical="center" wrapText="1"/>
    </xf>
    <xf numFmtId="0" fontId="53" fillId="0" borderId="27" xfId="0" applyFont="1" applyBorder="1" applyAlignment="1">
      <alignment vertical="center" wrapText="1"/>
    </xf>
    <xf numFmtId="0" fontId="53" fillId="0" borderId="27" xfId="0" applyFont="1" applyBorder="1" applyAlignment="1">
      <alignment vertical="center"/>
    </xf>
    <xf numFmtId="4" fontId="56" fillId="0" borderId="28" xfId="0" applyNumberFormat="1" applyFont="1" applyBorder="1" applyAlignment="1">
      <alignment vertical="center"/>
    </xf>
    <xf numFmtId="0" fontId="56" fillId="0" borderId="36" xfId="0" applyFont="1" applyBorder="1" applyAlignment="1">
      <alignment vertical="center" wrapText="1"/>
    </xf>
    <xf numFmtId="0" fontId="53" fillId="0" borderId="37" xfId="0" applyFont="1" applyBorder="1" applyAlignment="1">
      <alignment vertical="center" wrapText="1"/>
    </xf>
    <xf numFmtId="0" fontId="53" fillId="0" borderId="37" xfId="0" applyFont="1" applyBorder="1" applyAlignment="1">
      <alignment vertical="center"/>
    </xf>
    <xf numFmtId="4" fontId="53" fillId="0" borderId="38" xfId="0" applyNumberFormat="1" applyFont="1" applyBorder="1" applyAlignment="1">
      <alignment vertical="center"/>
    </xf>
    <xf numFmtId="0" fontId="56" fillId="0" borderId="36" xfId="0" applyFont="1" applyBorder="1"/>
    <xf numFmtId="0" fontId="86" fillId="0" borderId="26" xfId="0" applyFont="1" applyBorder="1"/>
    <xf numFmtId="0" fontId="53" fillId="0" borderId="27" xfId="0" applyFont="1" applyBorder="1"/>
    <xf numFmtId="4" fontId="56" fillId="0" borderId="28" xfId="0" applyNumberFormat="1" applyFont="1" applyBorder="1"/>
    <xf numFmtId="0" fontId="86" fillId="0" borderId="36" xfId="0" applyFont="1" applyBorder="1"/>
    <xf numFmtId="4" fontId="77" fillId="0" borderId="38" xfId="0" applyNumberFormat="1" applyFont="1" applyBorder="1"/>
    <xf numFmtId="0" fontId="7" fillId="0" borderId="0" xfId="0" applyFont="1" applyAlignment="1">
      <alignment horizontal="left" vertical="center"/>
    </xf>
    <xf numFmtId="49" fontId="10" fillId="19" borderId="21" xfId="0" applyNumberFormat="1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 vertical="center"/>
    </xf>
    <xf numFmtId="49" fontId="53" fillId="0" borderId="21" xfId="5" applyNumberFormat="1" applyFont="1" applyBorder="1"/>
    <xf numFmtId="43" fontId="53" fillId="0" borderId="21" xfId="2" applyFont="1" applyBorder="1"/>
    <xf numFmtId="49" fontId="4" fillId="3" borderId="21" xfId="0" applyNumberFormat="1" applyFont="1" applyFill="1" applyBorder="1"/>
    <xf numFmtId="166" fontId="4" fillId="3" borderId="21" xfId="0" applyNumberFormat="1" applyFont="1" applyFill="1" applyBorder="1" applyAlignment="1">
      <alignment horizontal="center"/>
    </xf>
    <xf numFmtId="165" fontId="4" fillId="3" borderId="21" xfId="0" applyNumberFormat="1" applyFont="1" applyFill="1" applyBorder="1"/>
    <xf numFmtId="10" fontId="4" fillId="3" borderId="21" xfId="0" applyNumberFormat="1" applyFont="1" applyFill="1" applyBorder="1" applyAlignment="1">
      <alignment horizontal="right"/>
    </xf>
    <xf numFmtId="0" fontId="57" fillId="0" borderId="27" xfId="0" applyFont="1" applyBorder="1" applyAlignment="1">
      <alignment wrapText="1"/>
    </xf>
    <xf numFmtId="0" fontId="57" fillId="0" borderId="1" xfId="0" applyFont="1" applyBorder="1" applyAlignment="1">
      <alignment wrapText="1"/>
    </xf>
    <xf numFmtId="0" fontId="56" fillId="0" borderId="37" xfId="0" applyFont="1" applyBorder="1"/>
    <xf numFmtId="0" fontId="87" fillId="0" borderId="37" xfId="0" applyFont="1" applyBorder="1" applyAlignment="1">
      <alignment wrapText="1"/>
    </xf>
    <xf numFmtId="4" fontId="56" fillId="0" borderId="38" xfId="0" applyNumberFormat="1" applyFont="1" applyBorder="1"/>
    <xf numFmtId="0" fontId="53" fillId="0" borderId="29" xfId="0" applyFont="1" applyBorder="1" applyAlignment="1">
      <alignment vertical="center"/>
    </xf>
    <xf numFmtId="0" fontId="28" fillId="0" borderId="29" xfId="0" applyFont="1" applyBorder="1"/>
    <xf numFmtId="0" fontId="88" fillId="0" borderId="29" xfId="0" applyFont="1" applyBorder="1"/>
    <xf numFmtId="4" fontId="56" fillId="0" borderId="38" xfId="0" applyNumberFormat="1" applyFont="1" applyBorder="1" applyAlignment="1">
      <alignment horizontal="right"/>
    </xf>
    <xf numFmtId="0" fontId="57" fillId="0" borderId="27" xfId="0" applyFont="1" applyBorder="1" applyAlignment="1">
      <alignment vertical="center" wrapText="1"/>
    </xf>
    <xf numFmtId="0" fontId="56" fillId="0" borderId="29" xfId="0" applyFont="1" applyBorder="1" applyAlignment="1">
      <alignment vertical="center"/>
    </xf>
    <xf numFmtId="0" fontId="53" fillId="18" borderId="40" xfId="0" applyFont="1" applyFill="1" applyBorder="1" applyAlignment="1">
      <alignment vertical="center" wrapText="1"/>
    </xf>
    <xf numFmtId="4" fontId="10" fillId="19" borderId="21" xfId="0" applyNumberFormat="1" applyFont="1" applyFill="1" applyBorder="1" applyAlignment="1">
      <alignment horizontal="center" vertical="center"/>
    </xf>
    <xf numFmtId="0" fontId="56" fillId="0" borderId="26" xfId="0" applyFont="1" applyBorder="1" applyAlignment="1">
      <alignment vertical="center"/>
    </xf>
    <xf numFmtId="0" fontId="53" fillId="0" borderId="27" xfId="0" applyFont="1" applyBorder="1" applyAlignment="1">
      <alignment horizontal="left" wrapText="1"/>
    </xf>
    <xf numFmtId="0" fontId="53" fillId="0" borderId="27" xfId="0" applyFont="1" applyBorder="1" applyAlignment="1">
      <alignment horizontal="left" vertical="center"/>
    </xf>
    <xf numFmtId="0" fontId="57" fillId="0" borderId="27" xfId="0" applyFont="1" applyBorder="1" applyAlignment="1">
      <alignment horizontal="left" wrapText="1"/>
    </xf>
    <xf numFmtId="0" fontId="53" fillId="0" borderId="27" xfId="0" applyFont="1" applyBorder="1" applyAlignment="1">
      <alignment horizontal="center"/>
    </xf>
    <xf numFmtId="3" fontId="53" fillId="0" borderId="28" xfId="0" applyNumberFormat="1" applyFont="1" applyBorder="1"/>
    <xf numFmtId="0" fontId="53" fillId="0" borderId="1" xfId="0" applyFont="1" applyBorder="1" applyAlignment="1">
      <alignment horizontal="left" wrapText="1"/>
    </xf>
    <xf numFmtId="0" fontId="53" fillId="0" borderId="1" xfId="0" applyFont="1" applyBorder="1" applyAlignment="1">
      <alignment horizontal="left" vertical="center"/>
    </xf>
    <xf numFmtId="0" fontId="57" fillId="0" borderId="1" xfId="0" applyFont="1" applyBorder="1" applyAlignment="1">
      <alignment horizontal="left" wrapText="1"/>
    </xf>
    <xf numFmtId="3" fontId="53" fillId="0" borderId="30" xfId="0" applyNumberFormat="1" applyFont="1" applyBorder="1"/>
    <xf numFmtId="3" fontId="53" fillId="0" borderId="30" xfId="11" applyNumberFormat="1" applyFont="1" applyBorder="1" applyAlignment="1"/>
    <xf numFmtId="0" fontId="56" fillId="0" borderId="1" xfId="0" applyFont="1" applyBorder="1" applyAlignment="1">
      <alignment horizontal="center"/>
    </xf>
    <xf numFmtId="3" fontId="56" fillId="0" borderId="30" xfId="11" applyNumberFormat="1" applyFont="1" applyBorder="1" applyAlignment="1"/>
    <xf numFmtId="3" fontId="53" fillId="0" borderId="30" xfId="11" applyNumberFormat="1" applyFont="1" applyFill="1" applyBorder="1" applyAlignment="1"/>
    <xf numFmtId="1" fontId="53" fillId="0" borderId="30" xfId="0" applyNumberFormat="1" applyFont="1" applyBorder="1"/>
    <xf numFmtId="0" fontId="57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/>
    </xf>
    <xf numFmtId="3" fontId="53" fillId="0" borderId="30" xfId="0" applyNumberFormat="1" applyFont="1" applyBorder="1" applyAlignment="1">
      <alignment vertical="center"/>
    </xf>
    <xf numFmtId="0" fontId="56" fillId="0" borderId="29" xfId="0" applyFont="1" applyBorder="1" applyAlignment="1">
      <alignment horizontal="center" vertical="center" wrapText="1"/>
    </xf>
    <xf numFmtId="0" fontId="56" fillId="0" borderId="29" xfId="0" applyFont="1" applyBorder="1" applyAlignment="1">
      <alignment horizontal="center" vertical="center"/>
    </xf>
    <xf numFmtId="3" fontId="53" fillId="0" borderId="30" xfId="11" applyNumberFormat="1" applyFont="1" applyBorder="1" applyAlignment="1">
      <alignment vertical="center"/>
    </xf>
    <xf numFmtId="0" fontId="56" fillId="0" borderId="29" xfId="0" applyFont="1" applyBorder="1" applyAlignment="1">
      <alignment horizontal="left" vertical="center"/>
    </xf>
    <xf numFmtId="3" fontId="56" fillId="0" borderId="30" xfId="0" applyNumberFormat="1" applyFont="1" applyBorder="1"/>
    <xf numFmtId="0" fontId="56" fillId="0" borderId="36" xfId="0" applyFont="1" applyBorder="1" applyAlignment="1">
      <alignment horizontal="left" vertical="center"/>
    </xf>
    <xf numFmtId="0" fontId="53" fillId="0" borderId="37" xfId="0" applyFont="1" applyBorder="1" applyAlignment="1">
      <alignment horizontal="left" wrapText="1"/>
    </xf>
    <xf numFmtId="0" fontId="53" fillId="0" borderId="37" xfId="0" applyFont="1" applyBorder="1" applyAlignment="1">
      <alignment horizontal="left" vertical="center"/>
    </xf>
    <xf numFmtId="0" fontId="57" fillId="0" borderId="37" xfId="0" applyFont="1" applyBorder="1" applyAlignment="1">
      <alignment horizontal="left" wrapText="1"/>
    </xf>
    <xf numFmtId="0" fontId="53" fillId="0" borderId="37" xfId="0" applyFont="1" applyBorder="1" applyAlignment="1">
      <alignment horizontal="center"/>
    </xf>
    <xf numFmtId="3" fontId="53" fillId="0" borderId="38" xfId="0" applyNumberFormat="1" applyFont="1" applyBorder="1"/>
    <xf numFmtId="0" fontId="56" fillId="0" borderId="36" xfId="0" applyFont="1" applyBorder="1" applyAlignment="1">
      <alignment vertical="center"/>
    </xf>
    <xf numFmtId="3" fontId="53" fillId="0" borderId="38" xfId="11" applyNumberFormat="1" applyFont="1" applyBorder="1" applyAlignment="1"/>
    <xf numFmtId="3" fontId="53" fillId="0" borderId="28" xfId="11" applyNumberFormat="1" applyFont="1" applyBorder="1" applyAlignment="1"/>
    <xf numFmtId="0" fontId="53" fillId="0" borderId="26" xfId="0" applyFont="1" applyBorder="1" applyAlignment="1">
      <alignment vertical="center"/>
    </xf>
    <xf numFmtId="0" fontId="53" fillId="0" borderId="36" xfId="0" applyFont="1" applyBorder="1" applyAlignment="1">
      <alignment vertical="center"/>
    </xf>
    <xf numFmtId="0" fontId="56" fillId="0" borderId="26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left" vertical="center" wrapText="1"/>
    </xf>
    <xf numFmtId="0" fontId="53" fillId="0" borderId="40" xfId="0" applyFont="1" applyBorder="1" applyAlignment="1">
      <alignment horizontal="left" wrapText="1"/>
    </xf>
    <xf numFmtId="0" fontId="53" fillId="0" borderId="40" xfId="0" applyFont="1" applyBorder="1" applyAlignment="1">
      <alignment horizontal="left" vertical="center"/>
    </xf>
    <xf numFmtId="0" fontId="57" fillId="0" borderId="40" xfId="0" applyFont="1" applyBorder="1" applyAlignment="1">
      <alignment horizontal="left" wrapText="1"/>
    </xf>
    <xf numFmtId="0" fontId="53" fillId="0" borderId="40" xfId="0" applyFont="1" applyBorder="1" applyAlignment="1">
      <alignment horizontal="center"/>
    </xf>
    <xf numFmtId="3" fontId="53" fillId="0" borderId="41" xfId="11" applyNumberFormat="1" applyFont="1" applyBorder="1" applyAlignment="1"/>
    <xf numFmtId="0" fontId="53" fillId="0" borderId="37" xfId="0" applyFont="1" applyBorder="1" applyAlignment="1">
      <alignment horizontal="left" vertical="center" wrapText="1"/>
    </xf>
    <xf numFmtId="3" fontId="10" fillId="19" borderId="21" xfId="0" applyNumberFormat="1" applyFont="1" applyFill="1" applyBorder="1" applyAlignment="1">
      <alignment horizontal="center" vertical="center"/>
    </xf>
    <xf numFmtId="0" fontId="10" fillId="19" borderId="21" xfId="0" applyFont="1" applyFill="1" applyBorder="1" applyAlignment="1">
      <alignment horizontal="center"/>
    </xf>
    <xf numFmtId="4" fontId="10" fillId="19" borderId="21" xfId="0" applyNumberFormat="1" applyFont="1" applyFill="1" applyBorder="1" applyAlignment="1">
      <alignment horizontal="center" vertical="center" wrapText="1"/>
    </xf>
    <xf numFmtId="0" fontId="53" fillId="0" borderId="21" xfId="0" applyFont="1" applyBorder="1" applyAlignment="1">
      <alignment wrapText="1"/>
    </xf>
    <xf numFmtId="0" fontId="53" fillId="0" borderId="21" xfId="0" applyFont="1" applyBorder="1" applyAlignment="1">
      <alignment horizontal="left"/>
    </xf>
    <xf numFmtId="0" fontId="53" fillId="0" borderId="22" xfId="0" applyFont="1" applyBorder="1" applyAlignment="1">
      <alignment horizontal="left" vertical="center" wrapText="1"/>
    </xf>
    <xf numFmtId="0" fontId="53" fillId="0" borderId="42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left" vertical="center" wrapText="1"/>
    </xf>
    <xf numFmtId="43" fontId="89" fillId="9" borderId="44" xfId="15" applyFont="1" applyFill="1" applyBorder="1" applyAlignment="1">
      <alignment horizontal="right" vertical="top" wrapText="1" readingOrder="1"/>
    </xf>
    <xf numFmtId="1" fontId="89" fillId="9" borderId="44" xfId="15" applyNumberFormat="1" applyFont="1" applyFill="1" applyBorder="1" applyAlignment="1">
      <alignment horizontal="right" vertical="top" wrapText="1" readingOrder="1"/>
    </xf>
    <xf numFmtId="0" fontId="89" fillId="0" borderId="44" xfId="16" applyFont="1" applyBorder="1" applyAlignment="1">
      <alignment horizontal="left" vertical="top" wrapText="1" readingOrder="1"/>
    </xf>
    <xf numFmtId="0" fontId="89" fillId="9" borderId="44" xfId="16" applyFont="1" applyFill="1" applyBorder="1" applyAlignment="1">
      <alignment horizontal="right" vertical="top" wrapText="1" readingOrder="1"/>
    </xf>
    <xf numFmtId="0" fontId="10" fillId="20" borderId="21" xfId="0" applyFont="1" applyFill="1" applyBorder="1" applyAlignment="1">
      <alignment horizontal="center" vertical="center"/>
    </xf>
    <xf numFmtId="0" fontId="12" fillId="21" borderId="21" xfId="0" applyFont="1" applyFill="1" applyBorder="1"/>
    <xf numFmtId="0" fontId="10" fillId="20" borderId="21" xfId="0" applyFont="1" applyFill="1" applyBorder="1" applyAlignment="1">
      <alignment horizontal="center" vertical="center"/>
    </xf>
    <xf numFmtId="0" fontId="10" fillId="20" borderId="21" xfId="0" applyFont="1" applyFill="1" applyBorder="1" applyAlignment="1">
      <alignment horizontal="center" vertical="center" wrapText="1"/>
    </xf>
    <xf numFmtId="49" fontId="10" fillId="20" borderId="21" xfId="0" applyNumberFormat="1" applyFont="1" applyFill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right"/>
    </xf>
    <xf numFmtId="165" fontId="9" fillId="0" borderId="21" xfId="0" applyNumberFormat="1" applyFont="1" applyBorder="1" applyAlignment="1">
      <alignment horizontal="right"/>
    </xf>
    <xf numFmtId="0" fontId="4" fillId="22" borderId="21" xfId="0" applyFont="1" applyFill="1" applyBorder="1"/>
    <xf numFmtId="166" fontId="4" fillId="22" borderId="21" xfId="0" applyNumberFormat="1" applyFont="1" applyFill="1" applyBorder="1" applyAlignment="1">
      <alignment horizontal="right"/>
    </xf>
    <xf numFmtId="165" fontId="4" fillId="22" borderId="21" xfId="0" applyNumberFormat="1" applyFont="1" applyFill="1" applyBorder="1" applyAlignment="1">
      <alignment horizontal="right"/>
    </xf>
    <xf numFmtId="0" fontId="90" fillId="21" borderId="44" xfId="16" applyFont="1" applyFill="1" applyBorder="1" applyAlignment="1">
      <alignment horizontal="center" vertical="center" wrapText="1" readingOrder="1"/>
    </xf>
    <xf numFmtId="0" fontId="91" fillId="18" borderId="1" xfId="16" applyFont="1" applyFill="1" applyAlignment="1">
      <alignment horizontal="left" vertical="top" wrapText="1" readingOrder="1"/>
    </xf>
    <xf numFmtId="0" fontId="81" fillId="18" borderId="0" xfId="0" applyFont="1" applyFill="1"/>
    <xf numFmtId="43" fontId="91" fillId="18" borderId="44" xfId="15" applyFont="1" applyFill="1" applyBorder="1" applyAlignment="1">
      <alignment horizontal="right" vertical="top" wrapText="1" readingOrder="1"/>
    </xf>
    <xf numFmtId="1" fontId="91" fillId="18" borderId="44" xfId="15" applyNumberFormat="1" applyFont="1" applyFill="1" applyBorder="1" applyAlignment="1">
      <alignment horizontal="right" vertical="top" wrapText="1" readingOrder="1"/>
    </xf>
    <xf numFmtId="0" fontId="0" fillId="9" borderId="0" xfId="0" applyFill="1"/>
    <xf numFmtId="166" fontId="17" fillId="10" borderId="1" xfId="0" applyNumberFormat="1" applyFont="1" applyFill="1" applyBorder="1" applyAlignment="1">
      <alignment vertical="center" wrapText="1"/>
    </xf>
    <xf numFmtId="165" fontId="4" fillId="10" borderId="1" xfId="0" applyNumberFormat="1" applyFont="1" applyFill="1" applyBorder="1"/>
    <xf numFmtId="0" fontId="9" fillId="9" borderId="0" xfId="0" applyFont="1" applyFill="1" applyAlignment="1">
      <alignment wrapText="1"/>
    </xf>
    <xf numFmtId="0" fontId="9" fillId="9" borderId="0" xfId="0" applyFont="1" applyFill="1"/>
    <xf numFmtId="0" fontId="40" fillId="9" borderId="0" xfId="0" applyFont="1" applyFill="1"/>
    <xf numFmtId="0" fontId="92" fillId="10" borderId="1" xfId="0" applyFont="1" applyFill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174" fontId="9" fillId="2" borderId="21" xfId="15" applyNumberFormat="1" applyFont="1" applyFill="1" applyBorder="1"/>
    <xf numFmtId="43" fontId="9" fillId="2" borderId="21" xfId="15" applyFont="1" applyFill="1" applyBorder="1"/>
    <xf numFmtId="165" fontId="15" fillId="0" borderId="21" xfId="0" applyNumberFormat="1" applyFont="1" applyBorder="1" applyAlignment="1">
      <alignment vertical="center" wrapText="1"/>
    </xf>
    <xf numFmtId="0" fontId="9" fillId="0" borderId="21" xfId="0" applyFont="1" applyBorder="1" applyAlignment="1">
      <alignment horizontal="left" vertical="center" wrapText="1"/>
    </xf>
    <xf numFmtId="174" fontId="15" fillId="0" borderId="21" xfId="15" applyNumberFormat="1" applyFont="1" applyBorder="1" applyAlignment="1">
      <alignment horizontal="right" vertical="center"/>
    </xf>
    <xf numFmtId="165" fontId="15" fillId="0" borderId="21" xfId="0" applyNumberFormat="1" applyFont="1" applyBorder="1" applyAlignment="1">
      <alignment vertical="center"/>
    </xf>
    <xf numFmtId="166" fontId="15" fillId="0" borderId="21" xfId="0" applyNumberFormat="1" applyFont="1" applyBorder="1" applyAlignment="1">
      <alignment vertical="center"/>
    </xf>
    <xf numFmtId="0" fontId="17" fillId="22" borderId="21" xfId="0" applyFont="1" applyFill="1" applyBorder="1" applyAlignment="1">
      <alignment horizontal="left" vertical="center" wrapText="1"/>
    </xf>
    <xf numFmtId="166" fontId="4" fillId="22" borderId="21" xfId="0" applyNumberFormat="1" applyFont="1" applyFill="1" applyBorder="1"/>
    <xf numFmtId="166" fontId="17" fillId="22" borderId="21" xfId="0" applyNumberFormat="1" applyFont="1" applyFill="1" applyBorder="1" applyAlignment="1">
      <alignment vertical="center" wrapText="1"/>
    </xf>
    <xf numFmtId="165" fontId="4" fillId="22" borderId="21" xfId="0" applyNumberFormat="1" applyFont="1" applyFill="1" applyBorder="1"/>
    <xf numFmtId="10" fontId="15" fillId="0" borderId="21" xfId="0" applyNumberFormat="1" applyFont="1" applyBorder="1" applyAlignment="1">
      <alignment horizontal="right" vertical="center" wrapText="1"/>
    </xf>
    <xf numFmtId="166" fontId="15" fillId="0" borderId="21" xfId="0" applyNumberFormat="1" applyFont="1" applyBorder="1" applyAlignment="1">
      <alignment horizontal="right" vertical="center"/>
    </xf>
    <xf numFmtId="165" fontId="15" fillId="0" borderId="21" xfId="0" applyNumberFormat="1" applyFont="1" applyBorder="1" applyAlignment="1">
      <alignment horizontal="right" vertical="center"/>
    </xf>
    <xf numFmtId="10" fontId="15" fillId="0" borderId="21" xfId="3" applyNumberFormat="1" applyFont="1" applyBorder="1" applyAlignment="1">
      <alignment horizontal="right" vertical="center"/>
    </xf>
    <xf numFmtId="0" fontId="17" fillId="23" borderId="21" xfId="0" applyFont="1" applyFill="1" applyBorder="1" applyAlignment="1">
      <alignment horizontal="left" vertical="center"/>
    </xf>
    <xf numFmtId="166" fontId="4" fillId="23" borderId="21" xfId="0" applyNumberFormat="1" applyFont="1" applyFill="1" applyBorder="1"/>
    <xf numFmtId="165" fontId="4" fillId="23" borderId="21" xfId="0" applyNumberFormat="1" applyFont="1" applyFill="1" applyBorder="1" applyAlignment="1">
      <alignment horizontal="right"/>
    </xf>
    <xf numFmtId="10" fontId="4" fillId="23" borderId="21" xfId="0" applyNumberFormat="1" applyFont="1" applyFill="1" applyBorder="1"/>
    <xf numFmtId="165" fontId="9" fillId="0" borderId="21" xfId="0" applyNumberFormat="1" applyFont="1" applyBorder="1" applyAlignment="1">
      <alignment vertical="center" wrapText="1"/>
    </xf>
    <xf numFmtId="165" fontId="9" fillId="0" borderId="21" xfId="0" applyNumberFormat="1" applyFont="1" applyBorder="1" applyAlignment="1">
      <alignment horizontal="left" vertical="center" wrapText="1"/>
    </xf>
    <xf numFmtId="166" fontId="15" fillId="0" borderId="21" xfId="0" applyNumberFormat="1" applyFont="1" applyBorder="1" applyAlignment="1">
      <alignment horizontal="right" vertical="center" wrapText="1"/>
    </xf>
    <xf numFmtId="0" fontId="10" fillId="20" borderId="21" xfId="0" applyFont="1" applyFill="1" applyBorder="1" applyAlignment="1">
      <alignment horizontal="center" vertical="center" wrapText="1"/>
    </xf>
    <xf numFmtId="0" fontId="36" fillId="20" borderId="21" xfId="0" applyFont="1" applyFill="1" applyBorder="1" applyAlignment="1">
      <alignment horizontal="center" vertical="center" wrapText="1"/>
    </xf>
    <xf numFmtId="49" fontId="36" fillId="20" borderId="21" xfId="0" applyNumberFormat="1" applyFont="1" applyFill="1" applyBorder="1" applyAlignment="1">
      <alignment horizontal="center" vertical="center" wrapText="1"/>
    </xf>
    <xf numFmtId="166" fontId="17" fillId="22" borderId="21" xfId="0" applyNumberFormat="1" applyFont="1" applyFill="1" applyBorder="1" applyAlignment="1">
      <alignment horizontal="right" vertical="center" wrapText="1"/>
    </xf>
    <xf numFmtId="0" fontId="17" fillId="22" borderId="21" xfId="0" applyFont="1" applyFill="1" applyBorder="1" applyAlignment="1">
      <alignment horizontal="left" vertical="center"/>
    </xf>
    <xf numFmtId="0" fontId="15" fillId="0" borderId="21" xfId="0" applyFont="1" applyBorder="1" applyAlignment="1">
      <alignment horizontal="center" vertical="center"/>
    </xf>
    <xf numFmtId="10" fontId="15" fillId="0" borderId="21" xfId="0" applyNumberFormat="1" applyFont="1" applyBorder="1" applyAlignment="1">
      <alignment horizontal="right" vertical="center"/>
    </xf>
    <xf numFmtId="0" fontId="17" fillId="23" borderId="21" xfId="0" applyFont="1" applyFill="1" applyBorder="1" applyAlignment="1">
      <alignment horizontal="left" vertical="center"/>
    </xf>
    <xf numFmtId="0" fontId="12" fillId="16" borderId="21" xfId="0" applyFont="1" applyFill="1" applyBorder="1"/>
    <xf numFmtId="165" fontId="17" fillId="23" borderId="21" xfId="0" applyNumberFormat="1" applyFont="1" applyFill="1" applyBorder="1" applyAlignment="1">
      <alignment horizontal="left" vertical="center"/>
    </xf>
    <xf numFmtId="10" fontId="17" fillId="23" borderId="21" xfId="0" applyNumberFormat="1" applyFont="1" applyFill="1" applyBorder="1" applyAlignment="1">
      <alignment horizontal="right" vertical="center"/>
    </xf>
    <xf numFmtId="0" fontId="4" fillId="23" borderId="21" xfId="0" applyFont="1" applyFill="1" applyBorder="1" applyAlignment="1">
      <alignment horizontal="left" vertical="center"/>
    </xf>
    <xf numFmtId="0" fontId="10" fillId="24" borderId="10" xfId="7" applyFont="1" applyFill="1" applyBorder="1" applyAlignment="1">
      <alignment horizontal="center" vertical="center" wrapText="1"/>
    </xf>
    <xf numFmtId="0" fontId="28" fillId="16" borderId="1" xfId="16" applyFont="1" applyFill="1"/>
    <xf numFmtId="0" fontId="28" fillId="16" borderId="1" xfId="16" applyFont="1" applyFill="1" applyAlignment="1">
      <alignment wrapText="1"/>
    </xf>
    <xf numFmtId="4" fontId="28" fillId="16" borderId="1" xfId="16" applyNumberFormat="1" applyFont="1" applyFill="1"/>
    <xf numFmtId="0" fontId="1" fillId="0" borderId="1" xfId="16" applyBorder="1"/>
    <xf numFmtId="0" fontId="28" fillId="0" borderId="1" xfId="16" applyFont="1" applyBorder="1"/>
    <xf numFmtId="0" fontId="28" fillId="0" borderId="1" xfId="16" applyFont="1" applyBorder="1" applyAlignment="1">
      <alignment wrapText="1"/>
    </xf>
    <xf numFmtId="4" fontId="28" fillId="0" borderId="1" xfId="16" applyNumberFormat="1" applyFont="1" applyBorder="1"/>
    <xf numFmtId="0" fontId="13" fillId="0" borderId="1" xfId="16" applyFont="1" applyBorder="1"/>
    <xf numFmtId="0" fontId="13" fillId="0" borderId="1" xfId="16" applyFont="1" applyBorder="1" applyAlignment="1">
      <alignment wrapText="1"/>
    </xf>
    <xf numFmtId="4" fontId="13" fillId="0" borderId="1" xfId="16" applyNumberFormat="1" applyFont="1" applyBorder="1"/>
    <xf numFmtId="0" fontId="56" fillId="0" borderId="1" xfId="16" applyFont="1" applyBorder="1" applyAlignment="1">
      <alignment horizontal="left" vertical="center"/>
    </xf>
    <xf numFmtId="0" fontId="44" fillId="0" borderId="1" xfId="12" applyFont="1" applyBorder="1" applyAlignment="1">
      <alignment horizontal="left" vertical="center"/>
    </xf>
    <xf numFmtId="0" fontId="44" fillId="0" borderId="1" xfId="12" applyFont="1" applyBorder="1" applyAlignment="1">
      <alignment vertical="center" wrapText="1"/>
    </xf>
    <xf numFmtId="4" fontId="44" fillId="0" borderId="1" xfId="12" applyNumberFormat="1" applyFont="1" applyBorder="1" applyAlignment="1">
      <alignment vertical="center"/>
    </xf>
    <xf numFmtId="0" fontId="28" fillId="0" borderId="1" xfId="16" applyFont="1" applyBorder="1" applyAlignment="1">
      <alignment horizontal="left"/>
    </xf>
    <xf numFmtId="0" fontId="44" fillId="0" borderId="1" xfId="12" applyFont="1" applyBorder="1" applyAlignment="1">
      <alignment vertical="center"/>
    </xf>
    <xf numFmtId="0" fontId="28" fillId="0" borderId="1" xfId="16" applyFont="1" applyBorder="1" applyAlignment="1">
      <alignment horizontal="left"/>
    </xf>
    <xf numFmtId="0" fontId="4" fillId="0" borderId="1" xfId="12" applyFont="1" applyBorder="1" applyAlignment="1">
      <alignment horizontal="left" vertical="center"/>
    </xf>
    <xf numFmtId="4" fontId="47" fillId="0" borderId="1" xfId="12" applyNumberFormat="1" applyFont="1" applyBorder="1" applyAlignment="1">
      <alignment vertical="center"/>
    </xf>
    <xf numFmtId="4" fontId="8" fillId="16" borderId="25" xfId="16" applyNumberFormat="1" applyFont="1" applyFill="1" applyBorder="1" applyAlignment="1">
      <alignment vertical="center"/>
    </xf>
    <xf numFmtId="0" fontId="10" fillId="24" borderId="10" xfId="7" applyFont="1" applyFill="1" applyBorder="1" applyAlignment="1">
      <alignment horizontal="left" vertical="center" wrapText="1"/>
    </xf>
    <xf numFmtId="0" fontId="8" fillId="16" borderId="25" xfId="16" applyFont="1" applyFill="1" applyBorder="1" applyAlignment="1">
      <alignment vertical="center"/>
    </xf>
    <xf numFmtId="0" fontId="93" fillId="0" borderId="1" xfId="16" applyFont="1"/>
    <xf numFmtId="4" fontId="93" fillId="0" borderId="1" xfId="16" applyNumberFormat="1" applyFont="1"/>
    <xf numFmtId="0" fontId="13" fillId="16" borderId="1" xfId="16" applyFont="1" applyFill="1" applyAlignment="1">
      <alignment wrapText="1"/>
    </xf>
    <xf numFmtId="0" fontId="46" fillId="0" borderId="1" xfId="16" applyFont="1" applyAlignment="1">
      <alignment horizontal="left" vertical="center" wrapText="1"/>
    </xf>
    <xf numFmtId="0" fontId="1" fillId="0" borderId="1" xfId="16"/>
    <xf numFmtId="0" fontId="13" fillId="0" borderId="1" xfId="16" applyFont="1"/>
    <xf numFmtId="4" fontId="13" fillId="0" borderId="1" xfId="16" applyNumberFormat="1" applyFont="1"/>
    <xf numFmtId="0" fontId="28" fillId="0" borderId="1" xfId="16" applyFont="1"/>
    <xf numFmtId="4" fontId="28" fillId="0" borderId="1" xfId="16" applyNumberFormat="1" applyFont="1"/>
    <xf numFmtId="0" fontId="46" fillId="0" borderId="1" xfId="12" applyFont="1" applyAlignment="1">
      <alignment horizontal="left" vertical="center"/>
    </xf>
    <xf numFmtId="0" fontId="13" fillId="16" borderId="1" xfId="16" applyFont="1" applyFill="1"/>
    <xf numFmtId="4" fontId="13" fillId="16" borderId="1" xfId="16" applyNumberFormat="1" applyFont="1" applyFill="1"/>
    <xf numFmtId="0" fontId="13" fillId="0" borderId="1" xfId="16" applyFont="1"/>
    <xf numFmtId="4" fontId="13" fillId="0" borderId="1" xfId="16" applyNumberFormat="1" applyFont="1"/>
    <xf numFmtId="0" fontId="93" fillId="0" borderId="1" xfId="16" applyFont="1"/>
    <xf numFmtId="4" fontId="93" fillId="0" borderId="1" xfId="16" applyNumberFormat="1" applyFont="1"/>
    <xf numFmtId="0" fontId="1" fillId="0" borderId="1" xfId="16"/>
    <xf numFmtId="0" fontId="13" fillId="0" borderId="1" xfId="16" applyFont="1"/>
    <xf numFmtId="4" fontId="13" fillId="0" borderId="1" xfId="16" applyNumberFormat="1" applyFont="1"/>
    <xf numFmtId="0" fontId="28" fillId="0" borderId="1" xfId="16" applyFont="1"/>
    <xf numFmtId="4" fontId="28" fillId="0" borderId="1" xfId="16" applyNumberFormat="1" applyFont="1"/>
    <xf numFmtId="0" fontId="13" fillId="0" borderId="1" xfId="16" applyFont="1" applyAlignment="1">
      <alignment wrapText="1"/>
    </xf>
    <xf numFmtId="49" fontId="8" fillId="0" borderId="1" xfId="16" applyNumberFormat="1" applyFont="1" applyAlignment="1">
      <alignment horizontal="left"/>
    </xf>
    <xf numFmtId="0" fontId="28" fillId="0" borderId="1" xfId="16" applyFont="1" applyAlignment="1">
      <alignment vertical="center"/>
    </xf>
    <xf numFmtId="4" fontId="28" fillId="0" borderId="1" xfId="16" applyNumberFormat="1" applyFont="1" applyAlignment="1">
      <alignment vertical="center"/>
    </xf>
    <xf numFmtId="0" fontId="13" fillId="0" borderId="1" xfId="16" applyFont="1" applyAlignment="1">
      <alignment vertical="center" wrapText="1"/>
    </xf>
    <xf numFmtId="0" fontId="28" fillId="0" borderId="27" xfId="16" applyFont="1" applyBorder="1" applyAlignment="1">
      <alignment horizontal="center" vertical="center" wrapText="1"/>
    </xf>
    <xf numFmtId="4" fontId="28" fillId="0" borderId="28" xfId="16" applyNumberFormat="1" applyFont="1" applyBorder="1" applyAlignment="1">
      <alignment horizontal="right" vertical="center" wrapText="1"/>
    </xf>
    <xf numFmtId="0" fontId="56" fillId="0" borderId="1" xfId="12" applyFont="1" applyAlignment="1">
      <alignment horizontal="left"/>
    </xf>
    <xf numFmtId="43" fontId="17" fillId="16" borderId="12" xfId="8" applyFont="1" applyFill="1" applyBorder="1" applyAlignment="1">
      <alignment horizontal="right" vertical="center"/>
    </xf>
    <xf numFmtId="0" fontId="13" fillId="0" borderId="1" xfId="16" applyFont="1"/>
    <xf numFmtId="4" fontId="13" fillId="0" borderId="1" xfId="16" applyNumberFormat="1" applyFont="1"/>
    <xf numFmtId="0" fontId="8" fillId="0" borderId="25" xfId="16" applyFont="1" applyBorder="1" applyAlignment="1">
      <alignment vertical="center"/>
    </xf>
    <xf numFmtId="4" fontId="8" fillId="0" borderId="25" xfId="16" applyNumberFormat="1" applyFont="1" applyBorder="1" applyAlignment="1">
      <alignment vertical="center"/>
    </xf>
    <xf numFmtId="0" fontId="13" fillId="0" borderId="1" xfId="16" applyFont="1" applyAlignment="1">
      <alignment horizontal="left" vertical="center" wrapText="1"/>
    </xf>
    <xf numFmtId="4" fontId="13" fillId="0" borderId="1" xfId="16" applyNumberFormat="1" applyFont="1" applyAlignment="1">
      <alignment horizontal="right" vertical="center" wrapText="1"/>
    </xf>
    <xf numFmtId="0" fontId="38" fillId="0" borderId="1" xfId="16" applyFont="1"/>
    <xf numFmtId="4" fontId="38" fillId="0" borderId="1" xfId="16" applyNumberFormat="1" applyFont="1"/>
    <xf numFmtId="0" fontId="1" fillId="0" borderId="1" xfId="16"/>
    <xf numFmtId="0" fontId="13" fillId="0" borderId="1" xfId="16" applyFont="1"/>
    <xf numFmtId="4" fontId="13" fillId="0" borderId="1" xfId="16" applyNumberFormat="1" applyFont="1"/>
    <xf numFmtId="0" fontId="28" fillId="0" borderId="1" xfId="16" applyFont="1"/>
    <xf numFmtId="4" fontId="28" fillId="0" borderId="1" xfId="16" applyNumberFormat="1" applyFont="1"/>
    <xf numFmtId="0" fontId="13" fillId="0" borderId="1" xfId="16" applyFont="1" applyAlignment="1">
      <alignment wrapText="1"/>
    </xf>
    <xf numFmtId="0" fontId="28" fillId="0" borderId="1" xfId="16" applyFont="1" applyAlignment="1">
      <alignment horizontal="center" vertical="center" wrapText="1"/>
    </xf>
    <xf numFmtId="4" fontId="28" fillId="0" borderId="1" xfId="16" applyNumberFormat="1" applyFont="1" applyAlignment="1">
      <alignment horizontal="right" vertical="center" wrapText="1"/>
    </xf>
    <xf numFmtId="4" fontId="56" fillId="0" borderId="1" xfId="16" applyNumberFormat="1" applyFont="1"/>
    <xf numFmtId="0" fontId="17" fillId="16" borderId="12" xfId="7" applyFont="1" applyFill="1" applyBorder="1" applyAlignment="1">
      <alignment horizontal="left" vertical="center"/>
    </xf>
    <xf numFmtId="0" fontId="13" fillId="0" borderId="1" xfId="16" applyFont="1"/>
    <xf numFmtId="4" fontId="13" fillId="0" borderId="1" xfId="16" applyNumberFormat="1" applyFont="1"/>
    <xf numFmtId="0" fontId="13" fillId="0" borderId="1" xfId="16" applyFont="1" applyAlignment="1">
      <alignment horizontal="left" vertical="center" wrapText="1"/>
    </xf>
    <xf numFmtId="4" fontId="13" fillId="0" borderId="1" xfId="16" applyNumberFormat="1" applyFont="1" applyAlignment="1">
      <alignment horizontal="right" vertical="center" wrapText="1"/>
    </xf>
    <xf numFmtId="0" fontId="38" fillId="0" borderId="1" xfId="16" applyFont="1"/>
    <xf numFmtId="4" fontId="94" fillId="0" borderId="1" xfId="16" applyNumberFormat="1" applyFont="1"/>
    <xf numFmtId="0" fontId="56" fillId="0" borderId="1" xfId="13" quotePrefix="1" applyFont="1" applyAlignment="1">
      <alignment horizontal="left" vertical="center" shrinkToFit="1"/>
    </xf>
    <xf numFmtId="0" fontId="53" fillId="0" borderId="1" xfId="13" applyFont="1" applyAlignment="1">
      <alignment vertical="center" shrinkToFit="1"/>
    </xf>
    <xf numFmtId="3" fontId="53" fillId="0" borderId="1" xfId="13" applyNumberFormat="1" applyFont="1" applyAlignment="1">
      <alignment horizontal="left" vertical="center" indent="1" shrinkToFit="1"/>
    </xf>
    <xf numFmtId="3" fontId="53" fillId="0" borderId="1" xfId="13" quotePrefix="1" applyNumberFormat="1" applyFont="1" applyAlignment="1">
      <alignment horizontal="left" vertical="center" indent="1"/>
    </xf>
    <xf numFmtId="3" fontId="53" fillId="0" borderId="1" xfId="13" applyNumberFormat="1" applyFont="1" applyAlignment="1">
      <alignment vertical="center" shrinkToFit="1"/>
    </xf>
    <xf numFmtId="0" fontId="53" fillId="0" borderId="1" xfId="13" applyFont="1" applyAlignment="1">
      <alignment horizontal="left" vertical="center" indent="1" shrinkToFit="1"/>
    </xf>
    <xf numFmtId="3" fontId="53" fillId="0" borderId="1" xfId="13" applyNumberFormat="1" applyFont="1" applyAlignment="1">
      <alignment vertical="center"/>
    </xf>
    <xf numFmtId="3" fontId="56" fillId="0" borderId="1" xfId="13" applyNumberFormat="1" applyFont="1" applyAlignment="1">
      <alignment vertical="center"/>
    </xf>
    <xf numFmtId="0" fontId="13" fillId="0" borderId="29" xfId="16" applyFont="1" applyBorder="1"/>
    <xf numFmtId="0" fontId="28" fillId="0" borderId="26" xfId="16" applyFont="1" applyBorder="1" applyAlignment="1">
      <alignment horizontal="center" vertical="center" wrapText="1"/>
    </xf>
    <xf numFmtId="4" fontId="13" fillId="0" borderId="30" xfId="16" applyNumberFormat="1" applyFont="1" applyBorder="1"/>
    <xf numFmtId="0" fontId="47" fillId="0" borderId="36" xfId="12" applyFont="1" applyBorder="1"/>
    <xf numFmtId="0" fontId="44" fillId="0" borderId="37" xfId="12" applyFont="1" applyBorder="1" applyAlignment="1">
      <alignment wrapText="1"/>
    </xf>
    <xf numFmtId="4" fontId="47" fillId="0" borderId="38" xfId="12" applyNumberFormat="1" applyFont="1" applyBorder="1"/>
    <xf numFmtId="0" fontId="28" fillId="0" borderId="26" xfId="16" applyFont="1" applyBorder="1"/>
    <xf numFmtId="0" fontId="1" fillId="0" borderId="27" xfId="16" applyBorder="1"/>
    <xf numFmtId="4" fontId="28" fillId="0" borderId="28" xfId="16" applyNumberFormat="1" applyFont="1" applyBorder="1"/>
    <xf numFmtId="0" fontId="47" fillId="0" borderId="36" xfId="12" applyFont="1" applyBorder="1" applyAlignment="1">
      <alignment horizontal="left"/>
    </xf>
    <xf numFmtId="0" fontId="13" fillId="0" borderId="36" xfId="16" applyFont="1" applyBorder="1"/>
    <xf numFmtId="0" fontId="13" fillId="0" borderId="37" xfId="16" applyFont="1" applyBorder="1"/>
    <xf numFmtId="4" fontId="13" fillId="0" borderId="38" xfId="16" applyNumberFormat="1" applyFont="1" applyBorder="1"/>
    <xf numFmtId="0" fontId="10" fillId="24" borderId="21" xfId="7" applyFont="1" applyFill="1" applyBorder="1" applyAlignment="1">
      <alignment horizontal="left" vertical="center" wrapText="1"/>
    </xf>
    <xf numFmtId="0" fontId="10" fillId="24" borderId="21" xfId="7" applyFont="1" applyFill="1" applyBorder="1" applyAlignment="1">
      <alignment horizontal="center" vertical="center" wrapText="1"/>
    </xf>
    <xf numFmtId="0" fontId="28" fillId="16" borderId="21" xfId="16" applyFont="1" applyFill="1" applyBorder="1"/>
    <xf numFmtId="4" fontId="28" fillId="16" borderId="21" xfId="16" applyNumberFormat="1" applyFont="1" applyFill="1" applyBorder="1"/>
    <xf numFmtId="0" fontId="95" fillId="25" borderId="19" xfId="0" applyFont="1" applyFill="1" applyBorder="1" applyAlignment="1">
      <alignment horizontal="center" vertical="center" wrapText="1"/>
    </xf>
    <xf numFmtId="0" fontId="95" fillId="25" borderId="1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/>
    </xf>
    <xf numFmtId="0" fontId="23" fillId="0" borderId="1" xfId="0" applyFont="1" applyBorder="1" applyAlignment="1">
      <alignment horizontal="right" vertical="center"/>
    </xf>
    <xf numFmtId="0" fontId="24" fillId="7" borderId="19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right" vertical="center"/>
    </xf>
    <xf numFmtId="0" fontId="96" fillId="25" borderId="19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19" xfId="0" applyFont="1" applyFill="1" applyBorder="1" applyAlignment="1">
      <alignment horizontal="center" vertical="center"/>
    </xf>
    <xf numFmtId="3" fontId="23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24" fillId="7" borderId="19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" fillId="0" borderId="45" xfId="0" applyFont="1" applyBorder="1"/>
    <xf numFmtId="0" fontId="15" fillId="0" borderId="45" xfId="0" applyFont="1" applyBorder="1" applyAlignment="1">
      <alignment horizontal="left" vertical="center"/>
    </xf>
    <xf numFmtId="0" fontId="15" fillId="0" borderId="45" xfId="0" applyFont="1" applyBorder="1" applyAlignment="1">
      <alignment horizontal="center" vertical="center"/>
    </xf>
    <xf numFmtId="0" fontId="15" fillId="0" borderId="45" xfId="0" applyFont="1" applyBorder="1" applyAlignment="1">
      <alignment horizontal="right" vertical="center"/>
    </xf>
    <xf numFmtId="0" fontId="9" fillId="0" borderId="45" xfId="0" applyFont="1" applyBorder="1" applyAlignment="1">
      <alignment horizontal="left" vertical="center"/>
    </xf>
    <xf numFmtId="0" fontId="9" fillId="0" borderId="45" xfId="0" applyFont="1" applyBorder="1" applyAlignment="1">
      <alignment horizontal="center" vertical="center"/>
    </xf>
    <xf numFmtId="0" fontId="9" fillId="0" borderId="45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0" fillId="26" borderId="7" xfId="0" applyFont="1" applyFill="1" applyBorder="1" applyAlignment="1">
      <alignment horizontal="center"/>
    </xf>
    <xf numFmtId="0" fontId="4" fillId="23" borderId="15" xfId="0" applyFont="1" applyFill="1" applyBorder="1" applyAlignment="1">
      <alignment horizontal="left"/>
    </xf>
    <xf numFmtId="0" fontId="12" fillId="16" borderId="17" xfId="0" applyFont="1" applyFill="1" applyBorder="1" applyAlignment="1">
      <alignment horizontal="left"/>
    </xf>
    <xf numFmtId="0" fontId="12" fillId="16" borderId="16" xfId="0" applyFont="1" applyFill="1" applyBorder="1" applyAlignment="1">
      <alignment horizontal="left"/>
    </xf>
    <xf numFmtId="166" fontId="4" fillId="23" borderId="9" xfId="0" applyNumberFormat="1" applyFont="1" applyFill="1" applyBorder="1"/>
    <xf numFmtId="0" fontId="9" fillId="9" borderId="1" xfId="16" applyFont="1" applyFill="1"/>
    <xf numFmtId="4" fontId="9" fillId="9" borderId="1" xfId="16" applyNumberFormat="1" applyFont="1" applyFill="1"/>
    <xf numFmtId="0" fontId="26" fillId="9" borderId="1" xfId="16" applyFont="1" applyFill="1"/>
    <xf numFmtId="4" fontId="1" fillId="9" borderId="1" xfId="16" applyNumberFormat="1" applyFill="1"/>
    <xf numFmtId="0" fontId="10" fillId="8" borderId="1" xfId="0" applyFont="1" applyFill="1" applyBorder="1" applyAlignment="1">
      <alignment horizontal="center" vertical="center"/>
    </xf>
    <xf numFmtId="165" fontId="9" fillId="9" borderId="1" xfId="0" applyNumberFormat="1" applyFont="1" applyFill="1" applyBorder="1"/>
    <xf numFmtId="0" fontId="4" fillId="16" borderId="25" xfId="16" applyFont="1" applyFill="1" applyBorder="1"/>
    <xf numFmtId="4" fontId="4" fillId="16" borderId="25" xfId="16" applyNumberFormat="1" applyFont="1" applyFill="1" applyBorder="1"/>
    <xf numFmtId="0" fontId="10" fillId="24" borderId="48" xfId="16" applyFont="1" applyFill="1" applyBorder="1" applyAlignment="1">
      <alignment vertical="center"/>
    </xf>
    <xf numFmtId="0" fontId="10" fillId="24" borderId="49" xfId="16" applyFont="1" applyFill="1" applyBorder="1" applyAlignment="1">
      <alignment vertical="center"/>
    </xf>
    <xf numFmtId="0" fontId="4" fillId="27" borderId="1" xfId="16" applyFont="1" applyFill="1"/>
    <xf numFmtId="0" fontId="9" fillId="0" borderId="1" xfId="16" applyFont="1"/>
    <xf numFmtId="4" fontId="9" fillId="0" borderId="1" xfId="16" applyNumberFormat="1" applyFont="1"/>
    <xf numFmtId="0" fontId="4" fillId="0" borderId="1" xfId="16" applyFont="1"/>
    <xf numFmtId="3" fontId="9" fillId="0" borderId="1" xfId="16" applyNumberFormat="1" applyFont="1"/>
    <xf numFmtId="0" fontId="4" fillId="27" borderId="46" xfId="16" applyFont="1" applyFill="1" applyBorder="1"/>
    <xf numFmtId="3" fontId="4" fillId="27" borderId="46" xfId="16" applyNumberFormat="1" applyFont="1" applyFill="1" applyBorder="1"/>
    <xf numFmtId="4" fontId="4" fillId="27" borderId="46" xfId="16" applyNumberFormat="1" applyFont="1" applyFill="1" applyBorder="1"/>
    <xf numFmtId="0" fontId="10" fillId="26" borderId="7" xfId="0" applyFont="1" applyFill="1" applyBorder="1" applyAlignment="1">
      <alignment horizontal="center" vertical="center"/>
    </xf>
    <xf numFmtId="0" fontId="97" fillId="0" borderId="1" xfId="16" applyFont="1"/>
    <xf numFmtId="0" fontId="29" fillId="0" borderId="1" xfId="16" applyFont="1"/>
    <xf numFmtId="3" fontId="1" fillId="0" borderId="1" xfId="16" applyNumberFormat="1"/>
    <xf numFmtId="0" fontId="97" fillId="0" borderId="24" xfId="16" applyFont="1" applyBorder="1"/>
    <xf numFmtId="3" fontId="97" fillId="0" borderId="24" xfId="16" applyNumberFormat="1" applyFont="1" applyBorder="1"/>
    <xf numFmtId="0" fontId="1" fillId="0" borderId="1" xfId="16"/>
    <xf numFmtId="0" fontId="9" fillId="0" borderId="1" xfId="16" applyFont="1"/>
    <xf numFmtId="4" fontId="9" fillId="0" borderId="1" xfId="16" applyNumberFormat="1" applyFont="1"/>
    <xf numFmtId="0" fontId="35" fillId="0" borderId="1" xfId="16" applyFont="1"/>
    <xf numFmtId="0" fontId="44" fillId="0" borderId="1" xfId="16" applyFont="1"/>
    <xf numFmtId="0" fontId="68" fillId="24" borderId="47" xfId="16" applyFont="1" applyFill="1" applyBorder="1" applyAlignment="1">
      <alignment horizontal="center"/>
    </xf>
    <xf numFmtId="0" fontId="68" fillId="24" borderId="48" xfId="16" applyFont="1" applyFill="1" applyBorder="1" applyAlignment="1">
      <alignment horizontal="center"/>
    </xf>
    <xf numFmtId="0" fontId="68" fillId="24" borderId="49" xfId="16" applyFont="1" applyFill="1" applyBorder="1" applyAlignment="1">
      <alignment horizontal="center"/>
    </xf>
    <xf numFmtId="0" fontId="4" fillId="16" borderId="1" xfId="16" applyFont="1" applyFill="1"/>
    <xf numFmtId="3" fontId="4" fillId="16" borderId="1" xfId="16" applyNumberFormat="1" applyFont="1" applyFill="1"/>
    <xf numFmtId="4" fontId="4" fillId="16" borderId="1" xfId="16" applyNumberFormat="1" applyFont="1" applyFill="1"/>
    <xf numFmtId="0" fontId="1" fillId="0" borderId="1" xfId="16"/>
    <xf numFmtId="0" fontId="9" fillId="0" borderId="1" xfId="16" applyFont="1"/>
    <xf numFmtId="4" fontId="9" fillId="0" borderId="1" xfId="16" applyNumberFormat="1" applyFont="1"/>
    <xf numFmtId="4" fontId="68" fillId="24" borderId="49" xfId="16" applyNumberFormat="1" applyFont="1" applyFill="1" applyBorder="1" applyAlignment="1">
      <alignment horizontal="center"/>
    </xf>
    <xf numFmtId="0" fontId="11" fillId="25" borderId="19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right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39" fillId="0" borderId="0" xfId="1" applyAlignment="1">
      <alignment horizontal="left"/>
    </xf>
    <xf numFmtId="0" fontId="39" fillId="0" borderId="0" xfId="1" quotePrefix="1" applyAlignment="1">
      <alignment horizontal="left"/>
    </xf>
    <xf numFmtId="0" fontId="39" fillId="0" borderId="1" xfId="1" applyFill="1" applyBorder="1" applyAlignment="1">
      <alignment horizontal="left"/>
    </xf>
  </cellXfs>
  <cellStyles count="18">
    <cellStyle name="Diseño 2" xfId="13" xr:uid="{B0906047-37D6-41B4-9ED7-C7C6B9F6FF8C}"/>
    <cellStyle name="Hipervínculo" xfId="1" builtinId="8"/>
    <cellStyle name="Hipervínculo 2" xfId="6" xr:uid="{A2CB1F1C-CC5F-4BB1-A0B3-DD888E52505A}"/>
    <cellStyle name="Millares" xfId="2" builtinId="3"/>
    <cellStyle name="Millares [0] 2" xfId="11" xr:uid="{64279159-30AC-4D82-A571-0F721887384D}"/>
    <cellStyle name="Millares 2" xfId="8" xr:uid="{A39A5E98-E665-473C-8128-E267DC9162D2}"/>
    <cellStyle name="Millares 2 2" xfId="15" xr:uid="{E73FAAD4-466D-4EB0-8A7E-ABC205EE350C}"/>
    <cellStyle name="Normal" xfId="0" builtinId="0"/>
    <cellStyle name="Normal 2" xfId="7" xr:uid="{FDBA7DBE-AB2E-4B98-B264-CB178A3CD853}"/>
    <cellStyle name="Normal 2 2" xfId="5" xr:uid="{FEF97253-D439-445A-922C-1940F27D686A}"/>
    <cellStyle name="Normal 2 3" xfId="12" xr:uid="{CD1C49E1-87F8-4B46-9100-4C31C9765C22}"/>
    <cellStyle name="Normal 2 4" xfId="16" xr:uid="{51C092E6-FF93-4B29-82E6-6300C954FA87}"/>
    <cellStyle name="Normal 3" xfId="14" xr:uid="{2101C446-C3BE-4C0C-B163-EC6493C6022C}"/>
    <cellStyle name="Normal 3 2" xfId="17" xr:uid="{D55687AD-4856-46D7-AB3E-B0FB367A5D49}"/>
    <cellStyle name="Normal 8" xfId="4" xr:uid="{940881A7-6524-439B-B59C-3D92F4147595}"/>
    <cellStyle name="Porcentaje" xfId="3" builtinId="5"/>
    <cellStyle name="Porcentaje 2" xfId="9" xr:uid="{5BDD16A1-7A90-4000-96EC-C2E11740D428}"/>
    <cellStyle name="Porcentaje 2 2" xfId="10" xr:uid="{23ACC6BE-6837-4331-918F-7D333D09529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9CBC0"/>
      <color rgb="FF009999"/>
      <color rgb="FFE0AE3F"/>
      <color rgb="FF0BCB3D"/>
      <color rgb="FF0CD641"/>
      <color rgb="FF499B3F"/>
      <color rgb="FFF7F4EF"/>
      <color rgb="FFF2EDE6"/>
      <color rgb="FFF9F7F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49058756735168E-2"/>
          <c:y val="6.17284100632862E-2"/>
          <c:w val="0.88539050417435561"/>
          <c:h val="0.660547102704951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'Tabla5-6_LicenciasCD'!$C$9</c:f>
              <c:strCache>
                <c:ptCount val="1"/>
                <c:pt idx="0">
                  <c:v>Caza deportiva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'Tabla5-6_LicenciasCD'!$B$10:$B$31</c:f>
              <c:strCache>
                <c:ptCount val="22"/>
                <c:pt idx="0">
                  <c:v>Amazonas</c:v>
                </c:pt>
                <c:pt idx="1">
                  <c:v>Áncash</c:v>
                </c:pt>
                <c:pt idx="2">
                  <c:v>Apurímac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Cusco</c:v>
                </c:pt>
                <c:pt idx="7">
                  <c:v>Huancavelica</c:v>
                </c:pt>
                <c:pt idx="8">
                  <c:v>Huánuco</c:v>
                </c:pt>
                <c:pt idx="9">
                  <c:v>Ica</c:v>
                </c:pt>
                <c:pt idx="10">
                  <c:v>Junín</c:v>
                </c:pt>
                <c:pt idx="11">
                  <c:v>La Libertad</c:v>
                </c:pt>
                <c:pt idx="12">
                  <c:v>Lambayeque</c:v>
                </c:pt>
                <c:pt idx="13">
                  <c:v>Lima</c:v>
                </c:pt>
                <c:pt idx="14">
                  <c:v>Loreto</c:v>
                </c:pt>
                <c:pt idx="15">
                  <c:v>Madre de Dios</c:v>
                </c:pt>
                <c:pt idx="16">
                  <c:v>Moquegua</c:v>
                </c:pt>
                <c:pt idx="17">
                  <c:v>Pasco</c:v>
                </c:pt>
                <c:pt idx="18">
                  <c:v>Piura</c:v>
                </c:pt>
                <c:pt idx="19">
                  <c:v>Puno</c:v>
                </c:pt>
                <c:pt idx="20">
                  <c:v>San Martín</c:v>
                </c:pt>
                <c:pt idx="21">
                  <c:v>Tacna</c:v>
                </c:pt>
              </c:strCache>
            </c:strRef>
          </c:cat>
          <c:val>
            <c:numRef>
              <c:f>'Tabla5-6_LicenciasCD'!$C$10:$C$31</c:f>
              <c:numCache>
                <c:formatCode>General</c:formatCode>
                <c:ptCount val="22"/>
                <c:pt idx="0">
                  <c:v>1</c:v>
                </c:pt>
                <c:pt idx="1">
                  <c:v>19</c:v>
                </c:pt>
                <c:pt idx="2">
                  <c:v>31</c:v>
                </c:pt>
                <c:pt idx="3">
                  <c:v>204</c:v>
                </c:pt>
                <c:pt idx="5">
                  <c:v>35</c:v>
                </c:pt>
                <c:pt idx="6">
                  <c:v>118</c:v>
                </c:pt>
                <c:pt idx="7">
                  <c:v>1</c:v>
                </c:pt>
                <c:pt idx="8">
                  <c:v>4</c:v>
                </c:pt>
                <c:pt idx="9">
                  <c:v>65</c:v>
                </c:pt>
                <c:pt idx="10">
                  <c:v>21</c:v>
                </c:pt>
                <c:pt idx="11">
                  <c:v>99</c:v>
                </c:pt>
                <c:pt idx="12">
                  <c:v>72</c:v>
                </c:pt>
                <c:pt idx="13">
                  <c:v>1148</c:v>
                </c:pt>
                <c:pt idx="14">
                  <c:v>1</c:v>
                </c:pt>
                <c:pt idx="15">
                  <c:v>22</c:v>
                </c:pt>
                <c:pt idx="16">
                  <c:v>4</c:v>
                </c:pt>
                <c:pt idx="18">
                  <c:v>65</c:v>
                </c:pt>
                <c:pt idx="19">
                  <c:v>21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7-4511-9DF2-88DA4E68E52B}"/>
            </c:ext>
          </c:extLst>
        </c:ser>
        <c:ser>
          <c:idx val="1"/>
          <c:order val="1"/>
          <c:tx>
            <c:strRef>
              <c:f>'Tabla5-6_LicenciasCD'!$D$9</c:f>
              <c:strCache>
                <c:ptCount val="1"/>
                <c:pt idx="0">
                  <c:v>Cetrería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'Tabla5-6_LicenciasCD'!$B$10:$B$31</c:f>
              <c:strCache>
                <c:ptCount val="22"/>
                <c:pt idx="0">
                  <c:v>Amazonas</c:v>
                </c:pt>
                <c:pt idx="1">
                  <c:v>Áncash</c:v>
                </c:pt>
                <c:pt idx="2">
                  <c:v>Apurímac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Cusco</c:v>
                </c:pt>
                <c:pt idx="7">
                  <c:v>Huancavelica</c:v>
                </c:pt>
                <c:pt idx="8">
                  <c:v>Huánuco</c:v>
                </c:pt>
                <c:pt idx="9">
                  <c:v>Ica</c:v>
                </c:pt>
                <c:pt idx="10">
                  <c:v>Junín</c:v>
                </c:pt>
                <c:pt idx="11">
                  <c:v>La Libertad</c:v>
                </c:pt>
                <c:pt idx="12">
                  <c:v>Lambayeque</c:v>
                </c:pt>
                <c:pt idx="13">
                  <c:v>Lima</c:v>
                </c:pt>
                <c:pt idx="14">
                  <c:v>Loreto</c:v>
                </c:pt>
                <c:pt idx="15">
                  <c:v>Madre de Dios</c:v>
                </c:pt>
                <c:pt idx="16">
                  <c:v>Moquegua</c:v>
                </c:pt>
                <c:pt idx="17">
                  <c:v>Pasco</c:v>
                </c:pt>
                <c:pt idx="18">
                  <c:v>Piura</c:v>
                </c:pt>
                <c:pt idx="19">
                  <c:v>Puno</c:v>
                </c:pt>
                <c:pt idx="20">
                  <c:v>San Martín</c:v>
                </c:pt>
                <c:pt idx="21">
                  <c:v>Tacna</c:v>
                </c:pt>
              </c:strCache>
            </c:strRef>
          </c:cat>
          <c:val>
            <c:numRef>
              <c:f>'Tabla5-6_LicenciasCD'!$D$10:$D$31</c:f>
              <c:numCache>
                <c:formatCode>General</c:formatCode>
                <c:ptCount val="22"/>
                <c:pt idx="1">
                  <c:v>1</c:v>
                </c:pt>
                <c:pt idx="13">
                  <c:v>13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7-4511-9DF2-88DA4E68E52B}"/>
            </c:ext>
          </c:extLst>
        </c:ser>
        <c:ser>
          <c:idx val="2"/>
          <c:order val="2"/>
          <c:tx>
            <c:strRef>
              <c:f>'Tabla5-6_LicenciasCD'!$E$9</c:f>
              <c:strCache>
                <c:ptCount val="1"/>
                <c:pt idx="0">
                  <c:v>Captura comercial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'Tabla5-6_LicenciasCD'!$B$10:$B$31</c:f>
              <c:strCache>
                <c:ptCount val="22"/>
                <c:pt idx="0">
                  <c:v>Amazonas</c:v>
                </c:pt>
                <c:pt idx="1">
                  <c:v>Áncash</c:v>
                </c:pt>
                <c:pt idx="2">
                  <c:v>Apurímac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Cusco</c:v>
                </c:pt>
                <c:pt idx="7">
                  <c:v>Huancavelica</c:v>
                </c:pt>
                <c:pt idx="8">
                  <c:v>Huánuco</c:v>
                </c:pt>
                <c:pt idx="9">
                  <c:v>Ica</c:v>
                </c:pt>
                <c:pt idx="10">
                  <c:v>Junín</c:v>
                </c:pt>
                <c:pt idx="11">
                  <c:v>La Libertad</c:v>
                </c:pt>
                <c:pt idx="12">
                  <c:v>Lambayeque</c:v>
                </c:pt>
                <c:pt idx="13">
                  <c:v>Lima</c:v>
                </c:pt>
                <c:pt idx="14">
                  <c:v>Loreto</c:v>
                </c:pt>
                <c:pt idx="15">
                  <c:v>Madre de Dios</c:v>
                </c:pt>
                <c:pt idx="16">
                  <c:v>Moquegua</c:v>
                </c:pt>
                <c:pt idx="17">
                  <c:v>Pasco</c:v>
                </c:pt>
                <c:pt idx="18">
                  <c:v>Piura</c:v>
                </c:pt>
                <c:pt idx="19">
                  <c:v>Puno</c:v>
                </c:pt>
                <c:pt idx="20">
                  <c:v>San Martín</c:v>
                </c:pt>
                <c:pt idx="21">
                  <c:v>Tacna</c:v>
                </c:pt>
              </c:strCache>
            </c:strRef>
          </c:cat>
          <c:val>
            <c:numRef>
              <c:f>'Tabla5-6_LicenciasCD'!$E$10:$E$31</c:f>
              <c:numCache>
                <c:formatCode>General</c:formatCode>
                <c:ptCount val="22"/>
                <c:pt idx="0">
                  <c:v>1</c:v>
                </c:pt>
                <c:pt idx="5">
                  <c:v>1</c:v>
                </c:pt>
                <c:pt idx="8">
                  <c:v>32</c:v>
                </c:pt>
                <c:pt idx="10">
                  <c:v>3</c:v>
                </c:pt>
                <c:pt idx="13">
                  <c:v>14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B7-4511-9DF2-88DA4E68E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5236848"/>
        <c:axId val="435241648"/>
      </c:barChart>
      <c:catAx>
        <c:axId val="4352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5241648"/>
        <c:crosses val="autoZero"/>
        <c:auto val="1"/>
        <c:lblAlgn val="ctr"/>
        <c:lblOffset val="100"/>
        <c:noMultiLvlLbl val="0"/>
      </c:catAx>
      <c:valAx>
        <c:axId val="435241648"/>
        <c:scaling>
          <c:logBase val="10"/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PE"/>
                  <a:t>N° licencias</a:t>
                </a:r>
              </a:p>
            </c:rich>
          </c:tx>
          <c:layout>
            <c:manualLayout>
              <c:xMode val="edge"/>
              <c:yMode val="edge"/>
              <c:x val="9.6601195233330054E-3"/>
              <c:y val="0.33968949637637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52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237167687006121"/>
          <c:y val="0.92338731730698143"/>
          <c:w val="0.4710995068280277"/>
          <c:h val="5.567026856035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Tabla12_CTP!$C$6</c:f>
              <c:strCache>
                <c:ptCount val="1"/>
                <c:pt idx="0">
                  <c:v>Flora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Tabla12_CTP!$B$7:$B$25</c:f>
              <c:strCache>
                <c:ptCount val="19"/>
                <c:pt idx="0">
                  <c:v>Ancash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Callao</c:v>
                </c:pt>
                <c:pt idx="5">
                  <c:v>Huánuco</c:v>
                </c:pt>
                <c:pt idx="6">
                  <c:v>Ica</c:v>
                </c:pt>
                <c:pt idx="7">
                  <c:v>Junín</c:v>
                </c:pt>
                <c:pt idx="8">
                  <c:v>La Libertad</c:v>
                </c:pt>
                <c:pt idx="9">
                  <c:v>Lambayeque</c:v>
                </c:pt>
                <c:pt idx="10">
                  <c:v>Lima</c:v>
                </c:pt>
                <c:pt idx="11">
                  <c:v>Loreto</c:v>
                </c:pt>
                <c:pt idx="12">
                  <c:v>Madre de Dios</c:v>
                </c:pt>
                <c:pt idx="13">
                  <c:v>Pasco</c:v>
                </c:pt>
                <c:pt idx="14">
                  <c:v>Piura</c:v>
                </c:pt>
                <c:pt idx="15">
                  <c:v>Puno</c:v>
                </c:pt>
                <c:pt idx="16">
                  <c:v>San Martín</c:v>
                </c:pt>
                <c:pt idx="17">
                  <c:v>Tacna</c:v>
                </c:pt>
                <c:pt idx="18">
                  <c:v>Ucayali</c:v>
                </c:pt>
              </c:strCache>
            </c:strRef>
          </c:cat>
          <c:val>
            <c:numRef>
              <c:f>Tabla12_CTP!$C$7:$C$25</c:f>
              <c:numCache>
                <c:formatCode>General</c:formatCode>
                <c:ptCount val="19"/>
                <c:pt idx="0">
                  <c:v>1</c:v>
                </c:pt>
                <c:pt idx="1">
                  <c:v>9</c:v>
                </c:pt>
                <c:pt idx="2">
                  <c:v>9</c:v>
                </c:pt>
                <c:pt idx="3">
                  <c:v>4</c:v>
                </c:pt>
                <c:pt idx="4">
                  <c:v>2</c:v>
                </c:pt>
                <c:pt idx="5">
                  <c:v>33</c:v>
                </c:pt>
                <c:pt idx="6">
                  <c:v>19</c:v>
                </c:pt>
                <c:pt idx="7">
                  <c:v>24</c:v>
                </c:pt>
                <c:pt idx="8">
                  <c:v>13</c:v>
                </c:pt>
                <c:pt idx="9">
                  <c:v>9</c:v>
                </c:pt>
                <c:pt idx="10">
                  <c:v>13</c:v>
                </c:pt>
                <c:pt idx="11">
                  <c:v>13</c:v>
                </c:pt>
                <c:pt idx="12">
                  <c:v>36</c:v>
                </c:pt>
                <c:pt idx="13">
                  <c:v>6</c:v>
                </c:pt>
                <c:pt idx="14">
                  <c:v>35</c:v>
                </c:pt>
                <c:pt idx="15">
                  <c:v>25</c:v>
                </c:pt>
                <c:pt idx="16">
                  <c:v>16</c:v>
                </c:pt>
                <c:pt idx="17">
                  <c:v>1</c:v>
                </c:pt>
                <c:pt idx="18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3-4383-B8D7-AEB8983FAFD0}"/>
            </c:ext>
          </c:extLst>
        </c:ser>
        <c:ser>
          <c:idx val="1"/>
          <c:order val="1"/>
          <c:tx>
            <c:strRef>
              <c:f>Tabla12_CTP!$D$6</c:f>
              <c:strCache>
                <c:ptCount val="1"/>
                <c:pt idx="0">
                  <c:v>Fauna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Tabla12_CTP!$B$7:$B$25</c:f>
              <c:strCache>
                <c:ptCount val="19"/>
                <c:pt idx="0">
                  <c:v>Ancash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Callao</c:v>
                </c:pt>
                <c:pt idx="5">
                  <c:v>Huánuco</c:v>
                </c:pt>
                <c:pt idx="6">
                  <c:v>Ica</c:v>
                </c:pt>
                <c:pt idx="7">
                  <c:v>Junín</c:v>
                </c:pt>
                <c:pt idx="8">
                  <c:v>La Libertad</c:v>
                </c:pt>
                <c:pt idx="9">
                  <c:v>Lambayeque</c:v>
                </c:pt>
                <c:pt idx="10">
                  <c:v>Lima</c:v>
                </c:pt>
                <c:pt idx="11">
                  <c:v>Loreto</c:v>
                </c:pt>
                <c:pt idx="12">
                  <c:v>Madre de Dios</c:v>
                </c:pt>
                <c:pt idx="13">
                  <c:v>Pasco</c:v>
                </c:pt>
                <c:pt idx="14">
                  <c:v>Piura</c:v>
                </c:pt>
                <c:pt idx="15">
                  <c:v>Puno</c:v>
                </c:pt>
                <c:pt idx="16">
                  <c:v>San Martín</c:v>
                </c:pt>
                <c:pt idx="17">
                  <c:v>Tacna</c:v>
                </c:pt>
                <c:pt idx="18">
                  <c:v>Ucayali</c:v>
                </c:pt>
              </c:strCache>
            </c:strRef>
          </c:cat>
          <c:val>
            <c:numRef>
              <c:f>Tabla12_CTP!$D$7:$D$25</c:f>
              <c:numCache>
                <c:formatCode>General</c:formatCode>
                <c:ptCount val="19"/>
                <c:pt idx="1">
                  <c:v>1</c:v>
                </c:pt>
                <c:pt idx="2">
                  <c:v>4</c:v>
                </c:pt>
                <c:pt idx="5">
                  <c:v>12</c:v>
                </c:pt>
                <c:pt idx="10">
                  <c:v>2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3-4383-B8D7-AEB8983FAF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9090672"/>
        <c:axId val="459106992"/>
      </c:barChart>
      <c:catAx>
        <c:axId val="45909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59106992"/>
        <c:crosses val="autoZero"/>
        <c:auto val="1"/>
        <c:lblAlgn val="ctr"/>
        <c:lblOffset val="100"/>
        <c:noMultiLvlLbl val="0"/>
      </c:catAx>
      <c:valAx>
        <c:axId val="4591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PE" b="1"/>
                  <a:t>N° autorizaciones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5909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410957455953681"/>
          <c:y val="0.92533622139300731"/>
          <c:w val="0.26206082179867357"/>
          <c:h val="5.5079937794319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830020810401784E-2"/>
          <c:y val="3.3523805501455659E-2"/>
          <c:w val="0.89137860740197117"/>
          <c:h val="0.619067596035523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Tabla13_Depósitos!$C$7</c:f>
              <c:strCache>
                <c:ptCount val="1"/>
                <c:pt idx="0">
                  <c:v>Fauna silvestre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Tabla13_Depósitos!$B$8:$B$30</c:f>
              <c:strCache>
                <c:ptCount val="23"/>
                <c:pt idx="0">
                  <c:v>AMAZONAS</c:v>
                </c:pt>
                <c:pt idx="1">
                  <c:v>ANCASH</c:v>
                </c:pt>
                <c:pt idx="2">
                  <c:v>APURIMAC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CALLAO</c:v>
                </c:pt>
                <c:pt idx="7">
                  <c:v>CUSCO</c:v>
                </c:pt>
                <c:pt idx="8">
                  <c:v>HUANCAVELICA</c:v>
                </c:pt>
                <c:pt idx="9">
                  <c:v>HUANUCO</c:v>
                </c:pt>
                <c:pt idx="10">
                  <c:v>ICA</c:v>
                </c:pt>
                <c:pt idx="11">
                  <c:v>JUNIN</c:v>
                </c:pt>
                <c:pt idx="12">
                  <c:v>LA LIBERTAD</c:v>
                </c:pt>
                <c:pt idx="13">
                  <c:v>LAMBAYEQUE</c:v>
                </c:pt>
                <c:pt idx="14">
                  <c:v>LIMA</c:v>
                </c:pt>
                <c:pt idx="15">
                  <c:v>LORETO</c:v>
                </c:pt>
                <c:pt idx="16">
                  <c:v>MADRE DE DIOS</c:v>
                </c:pt>
                <c:pt idx="17">
                  <c:v>MOQUEGUA</c:v>
                </c:pt>
                <c:pt idx="18">
                  <c:v>PASCO</c:v>
                </c:pt>
                <c:pt idx="19">
                  <c:v>PIURA</c:v>
                </c:pt>
                <c:pt idx="20">
                  <c:v>SAN MARTIN</c:v>
                </c:pt>
                <c:pt idx="21">
                  <c:v>TACNA</c:v>
                </c:pt>
                <c:pt idx="22">
                  <c:v>UCAYALI</c:v>
                </c:pt>
              </c:strCache>
            </c:strRef>
          </c:cat>
          <c:val>
            <c:numRef>
              <c:f>Tabla13_Depósitos!$C$8:$C$30</c:f>
              <c:numCache>
                <c:formatCode>General</c:formatCode>
                <c:ptCount val="23"/>
                <c:pt idx="0">
                  <c:v>1</c:v>
                </c:pt>
                <c:pt idx="3">
                  <c:v>3</c:v>
                </c:pt>
                <c:pt idx="4">
                  <c:v>1</c:v>
                </c:pt>
                <c:pt idx="6">
                  <c:v>1</c:v>
                </c:pt>
                <c:pt idx="9">
                  <c:v>2</c:v>
                </c:pt>
                <c:pt idx="11">
                  <c:v>32</c:v>
                </c:pt>
                <c:pt idx="14">
                  <c:v>16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9-4AC1-905C-EBDFEC0B9F65}"/>
            </c:ext>
          </c:extLst>
        </c:ser>
        <c:ser>
          <c:idx val="1"/>
          <c:order val="1"/>
          <c:tx>
            <c:strRef>
              <c:f>Tabla13_Depósitos!$D$7</c:f>
              <c:strCache>
                <c:ptCount val="1"/>
                <c:pt idx="0">
                  <c:v>Forestal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Tabla13_Depósitos!$B$8:$B$30</c:f>
              <c:strCache>
                <c:ptCount val="23"/>
                <c:pt idx="0">
                  <c:v>AMAZONAS</c:v>
                </c:pt>
                <c:pt idx="1">
                  <c:v>ANCASH</c:v>
                </c:pt>
                <c:pt idx="2">
                  <c:v>APURIMAC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CALLAO</c:v>
                </c:pt>
                <c:pt idx="7">
                  <c:v>CUSCO</c:v>
                </c:pt>
                <c:pt idx="8">
                  <c:v>HUANCAVELICA</c:v>
                </c:pt>
                <c:pt idx="9">
                  <c:v>HUANUCO</c:v>
                </c:pt>
                <c:pt idx="10">
                  <c:v>ICA</c:v>
                </c:pt>
                <c:pt idx="11">
                  <c:v>JUNIN</c:v>
                </c:pt>
                <c:pt idx="12">
                  <c:v>LA LIBERTAD</c:v>
                </c:pt>
                <c:pt idx="13">
                  <c:v>LAMBAYEQUE</c:v>
                </c:pt>
                <c:pt idx="14">
                  <c:v>LIMA</c:v>
                </c:pt>
                <c:pt idx="15">
                  <c:v>LORETO</c:v>
                </c:pt>
                <c:pt idx="16">
                  <c:v>MADRE DE DIOS</c:v>
                </c:pt>
                <c:pt idx="17">
                  <c:v>MOQUEGUA</c:v>
                </c:pt>
                <c:pt idx="18">
                  <c:v>PASCO</c:v>
                </c:pt>
                <c:pt idx="19">
                  <c:v>PIURA</c:v>
                </c:pt>
                <c:pt idx="20">
                  <c:v>SAN MARTIN</c:v>
                </c:pt>
                <c:pt idx="21">
                  <c:v>TACNA</c:v>
                </c:pt>
                <c:pt idx="22">
                  <c:v>UCAYALI</c:v>
                </c:pt>
              </c:strCache>
            </c:strRef>
          </c:cat>
          <c:val>
            <c:numRef>
              <c:f>Tabla13_Depósitos!$D$8:$D$30</c:f>
              <c:numCache>
                <c:formatCode>General</c:formatCode>
                <c:ptCount val="23"/>
                <c:pt idx="0">
                  <c:v>21</c:v>
                </c:pt>
                <c:pt idx="1">
                  <c:v>14</c:v>
                </c:pt>
                <c:pt idx="2">
                  <c:v>15</c:v>
                </c:pt>
                <c:pt idx="3">
                  <c:v>19</c:v>
                </c:pt>
                <c:pt idx="4">
                  <c:v>2</c:v>
                </c:pt>
                <c:pt idx="5">
                  <c:v>18</c:v>
                </c:pt>
                <c:pt idx="6">
                  <c:v>5</c:v>
                </c:pt>
                <c:pt idx="7">
                  <c:v>112</c:v>
                </c:pt>
                <c:pt idx="8">
                  <c:v>5</c:v>
                </c:pt>
                <c:pt idx="9">
                  <c:v>18</c:v>
                </c:pt>
                <c:pt idx="10">
                  <c:v>30</c:v>
                </c:pt>
                <c:pt idx="11">
                  <c:v>20</c:v>
                </c:pt>
                <c:pt idx="12">
                  <c:v>10</c:v>
                </c:pt>
                <c:pt idx="13">
                  <c:v>6</c:v>
                </c:pt>
                <c:pt idx="14">
                  <c:v>149</c:v>
                </c:pt>
                <c:pt idx="15">
                  <c:v>37</c:v>
                </c:pt>
                <c:pt idx="16">
                  <c:v>25</c:v>
                </c:pt>
                <c:pt idx="17">
                  <c:v>4</c:v>
                </c:pt>
                <c:pt idx="18">
                  <c:v>6</c:v>
                </c:pt>
                <c:pt idx="19">
                  <c:v>1</c:v>
                </c:pt>
                <c:pt idx="20">
                  <c:v>52</c:v>
                </c:pt>
                <c:pt idx="21">
                  <c:v>3</c:v>
                </c:pt>
                <c:pt idx="2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9-4AC1-905C-EBDFEC0B9F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9165072"/>
        <c:axId val="459158352"/>
      </c:barChart>
      <c:catAx>
        <c:axId val="45916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59158352"/>
        <c:crosses val="autoZero"/>
        <c:auto val="1"/>
        <c:lblAlgn val="ctr"/>
        <c:lblOffset val="100"/>
        <c:noMultiLvlLbl val="0"/>
      </c:catAx>
      <c:valAx>
        <c:axId val="45915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PE"/>
                  <a:t>N° autorizaciones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5916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560973024494828"/>
          <c:y val="0.90314427070182446"/>
          <c:w val="0.31169733973629937"/>
          <c:h val="5.66041622867115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87850324174435E-2"/>
          <c:y val="3.5058537971132044E-2"/>
          <c:w val="0.77914779393060407"/>
          <c:h val="0.693434232619585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'Tabla21-23_Plantaciones'!$C$8</c:f>
              <c:strCache>
                <c:ptCount val="1"/>
                <c:pt idx="0">
                  <c:v>N° Certificados de inscripción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'Tabla21-23_Plantaciones'!$B$9:$B$30</c:f>
              <c:strCache>
                <c:ptCount val="22"/>
                <c:pt idx="0">
                  <c:v>Amazonas</c:v>
                </c:pt>
                <c:pt idx="1">
                  <c:v>Ancash</c:v>
                </c:pt>
                <c:pt idx="2">
                  <c:v>Apurímac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Cusco</c:v>
                </c:pt>
                <c:pt idx="7">
                  <c:v>Huancavelica</c:v>
                </c:pt>
                <c:pt idx="8">
                  <c:v>Huánuco</c:v>
                </c:pt>
                <c:pt idx="9">
                  <c:v>Ica</c:v>
                </c:pt>
                <c:pt idx="10">
                  <c:v>Junín</c:v>
                </c:pt>
                <c:pt idx="11">
                  <c:v>La Libertad</c:v>
                </c:pt>
                <c:pt idx="12">
                  <c:v>Lambayeque</c:v>
                </c:pt>
                <c:pt idx="13">
                  <c:v>Lima</c:v>
                </c:pt>
                <c:pt idx="14">
                  <c:v>Loreto</c:v>
                </c:pt>
                <c:pt idx="15">
                  <c:v>Moquegua</c:v>
                </c:pt>
                <c:pt idx="16">
                  <c:v>Pasco</c:v>
                </c:pt>
                <c:pt idx="17">
                  <c:v>Piura</c:v>
                </c:pt>
                <c:pt idx="18">
                  <c:v>Puno</c:v>
                </c:pt>
                <c:pt idx="19">
                  <c:v>San Martin</c:v>
                </c:pt>
                <c:pt idx="20">
                  <c:v>Tacna</c:v>
                </c:pt>
                <c:pt idx="21">
                  <c:v>Ucayali</c:v>
                </c:pt>
              </c:strCache>
            </c:strRef>
          </c:cat>
          <c:val>
            <c:numRef>
              <c:f>'Tabla21-23_Plantaciones'!$C$9:$C$30</c:f>
              <c:numCache>
                <c:formatCode>0</c:formatCode>
                <c:ptCount val="22"/>
                <c:pt idx="0">
                  <c:v>29</c:v>
                </c:pt>
                <c:pt idx="1">
                  <c:v>20</c:v>
                </c:pt>
                <c:pt idx="2">
                  <c:v>10</c:v>
                </c:pt>
                <c:pt idx="3">
                  <c:v>103</c:v>
                </c:pt>
                <c:pt idx="4">
                  <c:v>152</c:v>
                </c:pt>
                <c:pt idx="5">
                  <c:v>63</c:v>
                </c:pt>
                <c:pt idx="6">
                  <c:v>32</c:v>
                </c:pt>
                <c:pt idx="7">
                  <c:v>3</c:v>
                </c:pt>
                <c:pt idx="8">
                  <c:v>106</c:v>
                </c:pt>
                <c:pt idx="9">
                  <c:v>4</c:v>
                </c:pt>
                <c:pt idx="10">
                  <c:v>83</c:v>
                </c:pt>
                <c:pt idx="11">
                  <c:v>50</c:v>
                </c:pt>
                <c:pt idx="12">
                  <c:v>3</c:v>
                </c:pt>
                <c:pt idx="13">
                  <c:v>3</c:v>
                </c:pt>
                <c:pt idx="14">
                  <c:v>40</c:v>
                </c:pt>
                <c:pt idx="15">
                  <c:v>1</c:v>
                </c:pt>
                <c:pt idx="16">
                  <c:v>87</c:v>
                </c:pt>
                <c:pt idx="17">
                  <c:v>13</c:v>
                </c:pt>
                <c:pt idx="18">
                  <c:v>5</c:v>
                </c:pt>
                <c:pt idx="19">
                  <c:v>558</c:v>
                </c:pt>
                <c:pt idx="20">
                  <c:v>137</c:v>
                </c:pt>
                <c:pt idx="2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3-481C-8B0B-FBFBC8535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628495"/>
        <c:axId val="1004653935"/>
      </c:barChart>
      <c:lineChart>
        <c:grouping val="standard"/>
        <c:varyColors val="0"/>
        <c:ser>
          <c:idx val="1"/>
          <c:order val="1"/>
          <c:tx>
            <c:strRef>
              <c:f>'Tabla21-23_Plantaciones'!$D$8</c:f>
              <c:strCache>
                <c:ptCount val="1"/>
                <c:pt idx="0">
                  <c:v>Superficie (ha)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'Tabla21-23_Plantaciones'!$B$9:$B$30</c:f>
              <c:strCache>
                <c:ptCount val="22"/>
                <c:pt idx="0">
                  <c:v>Amazonas</c:v>
                </c:pt>
                <c:pt idx="1">
                  <c:v>Ancash</c:v>
                </c:pt>
                <c:pt idx="2">
                  <c:v>Apurímac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Cusco</c:v>
                </c:pt>
                <c:pt idx="7">
                  <c:v>Huancavelica</c:v>
                </c:pt>
                <c:pt idx="8">
                  <c:v>Huánuco</c:v>
                </c:pt>
                <c:pt idx="9">
                  <c:v>Ica</c:v>
                </c:pt>
                <c:pt idx="10">
                  <c:v>Junín</c:v>
                </c:pt>
                <c:pt idx="11">
                  <c:v>La Libertad</c:v>
                </c:pt>
                <c:pt idx="12">
                  <c:v>Lambayeque</c:v>
                </c:pt>
                <c:pt idx="13">
                  <c:v>Lima</c:v>
                </c:pt>
                <c:pt idx="14">
                  <c:v>Loreto</c:v>
                </c:pt>
                <c:pt idx="15">
                  <c:v>Moquegua</c:v>
                </c:pt>
                <c:pt idx="16">
                  <c:v>Pasco</c:v>
                </c:pt>
                <c:pt idx="17">
                  <c:v>Piura</c:v>
                </c:pt>
                <c:pt idx="18">
                  <c:v>Puno</c:v>
                </c:pt>
                <c:pt idx="19">
                  <c:v>San Martin</c:v>
                </c:pt>
                <c:pt idx="20">
                  <c:v>Tacna</c:v>
                </c:pt>
                <c:pt idx="21">
                  <c:v>Ucayali</c:v>
                </c:pt>
              </c:strCache>
            </c:strRef>
          </c:cat>
          <c:val>
            <c:numRef>
              <c:f>'Tabla21-23_Plantaciones'!$D$9:$D$30</c:f>
              <c:numCache>
                <c:formatCode>0.00</c:formatCode>
                <c:ptCount val="22"/>
                <c:pt idx="0">
                  <c:v>87.34</c:v>
                </c:pt>
                <c:pt idx="1">
                  <c:v>200.5</c:v>
                </c:pt>
                <c:pt idx="2">
                  <c:v>566.54999999999995</c:v>
                </c:pt>
                <c:pt idx="3">
                  <c:v>72.67</c:v>
                </c:pt>
                <c:pt idx="4">
                  <c:v>316.97000000000003</c:v>
                </c:pt>
                <c:pt idx="5">
                  <c:v>268.16000000000003</c:v>
                </c:pt>
                <c:pt idx="6">
                  <c:v>1517.62</c:v>
                </c:pt>
                <c:pt idx="7">
                  <c:v>6.96</c:v>
                </c:pt>
                <c:pt idx="8">
                  <c:v>896.2</c:v>
                </c:pt>
                <c:pt idx="9">
                  <c:v>87.79</c:v>
                </c:pt>
                <c:pt idx="10">
                  <c:v>230.98</c:v>
                </c:pt>
                <c:pt idx="11">
                  <c:v>223.57</c:v>
                </c:pt>
                <c:pt idx="12">
                  <c:v>40.03</c:v>
                </c:pt>
                <c:pt idx="13">
                  <c:v>67.33</c:v>
                </c:pt>
                <c:pt idx="14">
                  <c:v>346.56</c:v>
                </c:pt>
                <c:pt idx="15">
                  <c:v>0.52</c:v>
                </c:pt>
                <c:pt idx="16">
                  <c:v>399.51</c:v>
                </c:pt>
                <c:pt idx="17">
                  <c:v>847.3</c:v>
                </c:pt>
                <c:pt idx="18">
                  <c:v>3.18</c:v>
                </c:pt>
                <c:pt idx="19">
                  <c:v>1902.77</c:v>
                </c:pt>
                <c:pt idx="20">
                  <c:v>443.91</c:v>
                </c:pt>
                <c:pt idx="21">
                  <c:v>197.31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3-481C-8B0B-FBFBC8535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665455"/>
        <c:axId val="1004679855"/>
      </c:lineChart>
      <c:catAx>
        <c:axId val="100462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004653935"/>
        <c:crosses val="autoZero"/>
        <c:auto val="1"/>
        <c:lblAlgn val="ctr"/>
        <c:lblOffset val="100"/>
        <c:noMultiLvlLbl val="0"/>
      </c:catAx>
      <c:valAx>
        <c:axId val="10046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N°</a:t>
                </a:r>
                <a:r>
                  <a:rPr lang="en-US" b="1" baseline="0"/>
                  <a:t> certificados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1.3867553574524686E-2"/>
              <c:y val="0.21794640786756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004628495"/>
        <c:crosses val="autoZero"/>
        <c:crossBetween val="between"/>
      </c:valAx>
      <c:valAx>
        <c:axId val="1004679855"/>
        <c:scaling>
          <c:orientation val="minMax"/>
          <c:max val="2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Superficie</a:t>
                </a:r>
                <a:r>
                  <a:rPr lang="en-US" b="1" baseline="0"/>
                  <a:t> (ha)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9625987615182221"/>
              <c:y val="0.22126906386425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004665455"/>
        <c:crosses val="max"/>
        <c:crossBetween val="between"/>
        <c:majorUnit val="200"/>
      </c:valAx>
      <c:catAx>
        <c:axId val="1004665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4679855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'Tabla26_Centros de propagacion'!$E$6:$E$6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CF-4153-BD7F-6550457BDDA2}"/>
              </c:ext>
            </c:extLst>
          </c:dPt>
          <c:dPt>
            <c:idx val="1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CF-4153-BD7F-6550457BDDA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CF-4153-BD7F-6550457BDDA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CF-4153-BD7F-6550457BDDA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3CF-4153-BD7F-6550457BDDA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90-473E-B2FF-2B8110B39BC2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90-473E-B2FF-2B8110B39B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'Tabla26_Centros de propagacion'!$B$7:$B$14</c:f>
              <c:strCache>
                <c:ptCount val="8"/>
                <c:pt idx="0">
                  <c:v>Arequipa</c:v>
                </c:pt>
                <c:pt idx="1">
                  <c:v>Cajamarca</c:v>
                </c:pt>
                <c:pt idx="2">
                  <c:v>Cusco</c:v>
                </c:pt>
                <c:pt idx="3">
                  <c:v>Huancavelica</c:v>
                </c:pt>
                <c:pt idx="4">
                  <c:v>Huánuco</c:v>
                </c:pt>
                <c:pt idx="5">
                  <c:v>Junín</c:v>
                </c:pt>
                <c:pt idx="6">
                  <c:v>Lima</c:v>
                </c:pt>
                <c:pt idx="7">
                  <c:v>San Martin </c:v>
                </c:pt>
              </c:strCache>
            </c:strRef>
          </c:cat>
          <c:val>
            <c:numRef>
              <c:f>'Tabla26_Centros de propagacion'!$E$7:$E$14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7</c:v>
                </c:pt>
                <c:pt idx="6">
                  <c:v>1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CF-4153-BD7F-6550457BD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1932784"/>
        <c:axId val="671943120"/>
      </c:barChart>
      <c:catAx>
        <c:axId val="67193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671943120"/>
        <c:crosses val="autoZero"/>
        <c:auto val="1"/>
        <c:lblAlgn val="ctr"/>
        <c:lblOffset val="100"/>
        <c:noMultiLvlLbl val="0"/>
      </c:catAx>
      <c:valAx>
        <c:axId val="67194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N° Centros de propagación</a:t>
                </a:r>
                <a:endParaRPr lang="es-MX" b="1"/>
              </a:p>
            </c:rich>
          </c:tx>
          <c:layout>
            <c:manualLayout>
              <c:xMode val="edge"/>
              <c:yMode val="edge"/>
              <c:x val="0.3878480005085444"/>
              <c:y val="0.92996937367337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67193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3C9-4CD1-8812-31923DFFC979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3C9-4CD1-8812-31923DFFC979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63C9-4CD1-8812-31923DFFC97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63C9-4CD1-8812-31923DFFC979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63C9-4CD1-8812-31923DFFC979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63C9-4CD1-8812-31923DFFC979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C9-4CD1-8812-31923DFFC979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63C9-4CD1-8812-31923DFFC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942140096"/>
        <c:axId val="942149888"/>
      </c:barChart>
      <c:catAx>
        <c:axId val="9421400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42149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214988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421400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9" orientation="landscape" horizontalDpi="-4" verticalDpi="72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707-406A-B621-978C31109F49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07-406A-B621-978C31109F49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07-406A-B621-978C31109F49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C707-406A-B621-978C31109F49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C707-406A-B621-978C31109F49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C707-406A-B621-978C31109F49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C707-406A-B621-978C31109F49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C707-406A-B621-978C31109F49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C707-406A-B621-978C31109F49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C707-406A-B621-978C31109F49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07-406A-B621-978C31109F49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07-406A-B621-978C31109F49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07-406A-B621-978C31109F49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07-406A-B621-978C31109F49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707-406A-B621-978C31109F49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707-406A-B621-978C31109F49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707-406A-B621-978C31109F49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707-406A-B621-978C31109F49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707-406A-B621-978C31109F49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707-406A-B621-978C31109F49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987.21699999999805</c:v>
              </c:pt>
              <c:pt idx="2">
                <c:v>1639.9549999999799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319.49099999999601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C707-406A-B621-978C3110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268" orientation="landscape" horizontalDpi="-3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CFA-408C-90C8-50A6F6FA4DCA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CFA-408C-90C8-50A6F6FA4DCA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9CFA-408C-90C8-50A6F6FA4DCA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9CFA-408C-90C8-50A6F6FA4DCA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9CFA-408C-90C8-50A6F6FA4DCA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9CFA-408C-90C8-50A6F6FA4DCA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FA-408C-90C8-50A6F6FA4DCA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9CFA-408C-90C8-50A6F6FA4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942161312"/>
        <c:axId val="942155872"/>
      </c:barChart>
      <c:catAx>
        <c:axId val="9421613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42155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215587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421613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1B5-479B-AF49-29445FEE7D88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1B5-479B-AF49-29445FEE7D88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1B5-479B-AF49-29445FEE7D88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1B5-479B-AF49-29445FEE7D88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E1B5-479B-AF49-29445FEE7D8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E1B5-479B-AF49-29445FEE7D88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E1B5-479B-AF49-29445FEE7D88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E1B5-479B-AF49-29445FEE7D88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E1B5-479B-AF49-29445FEE7D88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E1B5-479B-AF49-29445FEE7D88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B5-479B-AF49-29445FEE7D88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B5-479B-AF49-29445FEE7D88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B5-479B-AF49-29445FEE7D88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B5-479B-AF49-29445FEE7D88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B5-479B-AF49-29445FEE7D88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1B5-479B-AF49-29445FEE7D88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1B5-479B-AF49-29445FEE7D88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1B5-479B-AF49-29445FEE7D88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1B5-479B-AF49-29445FEE7D88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1B5-479B-AF49-29445FEE7D88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987.21699999999805</c:v>
              </c:pt>
              <c:pt idx="2">
                <c:v>1639.9549999999799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319.49099999999601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E1B5-479B-AF49-29445FEE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846524702645"/>
          <c:y val="0.20615735801141022"/>
          <c:w val="0.82102537182852142"/>
          <c:h val="0.52367198891805189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33A-4CA3-A797-B137C3EAC071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33A-4CA3-A797-B137C3EAC071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33A-4CA3-A797-B137C3EAC071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33A-4CA3-A797-B137C3EAC071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533A-4CA3-A797-B137C3EAC071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533A-4CA3-A797-B137C3EAC071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533A-4CA3-A797-B137C3EAC071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533A-4CA3-A797-B137C3EAC071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533A-4CA3-A797-B137C3EAC071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533A-4CA3-A797-B137C3EAC071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533A-4CA3-A797-B137C3EAC071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533A-4CA3-A797-B137C3EAC071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533A-4CA3-A797-B137C3EAC071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533A-4CA3-A797-B137C3EAC071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533A-4CA3-A797-B137C3EAC071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533A-4CA3-A797-B137C3EAC071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533A-4CA3-A797-B137C3EAC071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533A-4CA3-A797-B137C3EAC071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533A-4CA3-A797-B137C3EAC071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533A-4CA3-A797-B137C3EAC071}"/>
              </c:ext>
            </c:extLst>
          </c:dPt>
          <c:dPt>
            <c:idx val="20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9-533A-4CA3-A797-B137C3EAC071}"/>
              </c:ext>
            </c:extLst>
          </c:dPt>
          <c:dPt>
            <c:idx val="21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B-533A-4CA3-A797-B137C3EAC071}"/>
              </c:ext>
            </c:extLst>
          </c:dPt>
          <c:dPt>
            <c:idx val="22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533A-4CA3-A797-B137C3EAC071}"/>
              </c:ext>
            </c:extLst>
          </c:dPt>
          <c:dPt>
            <c:idx val="23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533A-4CA3-A797-B137C3EAC071}"/>
              </c:ext>
            </c:extLst>
          </c:dPt>
          <c:cat>
            <c:strRef>
              <c:f>'[6]PRODUCC MAD ROLLIZA'!$G$12:$G$23</c:f>
              <c:strCache>
                <c:ptCount val="12"/>
                <c:pt idx="0">
                  <c:v>UCAYALI</c:v>
                </c:pt>
                <c:pt idx="1">
                  <c:v>LORETO</c:v>
                </c:pt>
                <c:pt idx="2">
                  <c:v>MADRE DE DIOS</c:v>
                </c:pt>
                <c:pt idx="3">
                  <c:v>JUNIN</c:v>
                </c:pt>
                <c:pt idx="4">
                  <c:v>HUANUCO</c:v>
                </c:pt>
                <c:pt idx="5">
                  <c:v>PASCO</c:v>
                </c:pt>
                <c:pt idx="6">
                  <c:v>SAN MARTIN</c:v>
                </c:pt>
                <c:pt idx="7">
                  <c:v>LA LIBERTAD</c:v>
                </c:pt>
                <c:pt idx="8">
                  <c:v>CAJAMARCA</c:v>
                </c:pt>
                <c:pt idx="9">
                  <c:v>CUSCO</c:v>
                </c:pt>
                <c:pt idx="10">
                  <c:v>AMAZONAS</c:v>
                </c:pt>
                <c:pt idx="11">
                  <c:v>AREQUIPA</c:v>
                </c:pt>
              </c:strCache>
            </c:strRef>
          </c:cat>
          <c:val>
            <c:numRef>
              <c:f>'[6]PRODUCC MAD ROLLIZA'!$H$12:$H$23</c:f>
              <c:numCache>
                <c:formatCode>General</c:formatCode>
                <c:ptCount val="12"/>
                <c:pt idx="0">
                  <c:v>750417.15599999635</c:v>
                </c:pt>
                <c:pt idx="1">
                  <c:v>445370.03850000008</c:v>
                </c:pt>
                <c:pt idx="2">
                  <c:v>168385.91299999991</c:v>
                </c:pt>
                <c:pt idx="3">
                  <c:v>121088.89099999961</c:v>
                </c:pt>
                <c:pt idx="4">
                  <c:v>69293.147000000012</c:v>
                </c:pt>
                <c:pt idx="5">
                  <c:v>30857.302000000058</c:v>
                </c:pt>
                <c:pt idx="6">
                  <c:v>16823.013000000014</c:v>
                </c:pt>
                <c:pt idx="7">
                  <c:v>320.08999999999997</c:v>
                </c:pt>
                <c:pt idx="8">
                  <c:v>238.26000000000002</c:v>
                </c:pt>
                <c:pt idx="9">
                  <c:v>48.629999999999995</c:v>
                </c:pt>
                <c:pt idx="10">
                  <c:v>24.024000000000001</c:v>
                </c:pt>
                <c:pt idx="11">
                  <c:v>1.4670000000000001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33A-4CA3-A797-B137C3EA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5310136"/>
        <c:axId val="245309744"/>
      </c:barChart>
      <c:catAx>
        <c:axId val="24531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5309744"/>
        <c:crosses val="autoZero"/>
        <c:auto val="1"/>
        <c:lblAlgn val="ctr"/>
        <c:lblOffset val="100"/>
        <c:noMultiLvlLbl val="0"/>
      </c:catAx>
      <c:valAx>
        <c:axId val="24530974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12700"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531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D6-466C-9FAE-2F705C762B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D6-466C-9FAE-2F705C762B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D6-466C-9FAE-2F705C762B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2D6-466C-9FAE-2F705C762B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2D6-466C-9FAE-2F705C762B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2D6-466C-9FAE-2F705C762B2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2D6-466C-9FAE-2F705C762B2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2D6-466C-9FAE-2F705C762B2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2D6-466C-9FAE-2F705C762B2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2D6-466C-9FAE-2F705C762B2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2D6-466C-9FAE-2F705C762B2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2D6-466C-9FAE-2F705C762B2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2D6-466C-9FAE-2F705C762B2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2D6-466C-9FAE-2F705C762B2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2D6-466C-9FAE-2F705C762B2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2D6-466C-9FAE-2F705C762B2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2D6-466C-9FAE-2F705C762B2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2D6-466C-9FAE-2F705C762B2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2D6-466C-9FAE-2F705C762B2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52D6-466C-9FAE-2F705C762B2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52D6-466C-9FAE-2F705C762B2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52D6-466C-9FAE-2F705C762B2F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52D6-466C-9FAE-2F705C762B2F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52D6-466C-9FAE-2F705C762B2F}"/>
              </c:ext>
            </c:extLst>
          </c:dPt>
          <c:cat>
            <c:strRef>
              <c:f>'[6]PRODUCC MAD ASERR'!$E$15:$E$26</c:f>
              <c:strCache>
                <c:ptCount val="12"/>
                <c:pt idx="0">
                  <c:v>MADRE DE DIOS</c:v>
                </c:pt>
                <c:pt idx="1">
                  <c:v>UCAYALI</c:v>
                </c:pt>
                <c:pt idx="2">
                  <c:v>LORETO</c:v>
                </c:pt>
                <c:pt idx="3">
                  <c:v>JUNIN</c:v>
                </c:pt>
                <c:pt idx="4">
                  <c:v>HUANUCO</c:v>
                </c:pt>
                <c:pt idx="5">
                  <c:v>PASCO</c:v>
                </c:pt>
                <c:pt idx="6">
                  <c:v>SAN MARTIN</c:v>
                </c:pt>
                <c:pt idx="7">
                  <c:v>AMAZONAS</c:v>
                </c:pt>
                <c:pt idx="8">
                  <c:v>CUSCO</c:v>
                </c:pt>
                <c:pt idx="9">
                  <c:v>AYACUCHO</c:v>
                </c:pt>
                <c:pt idx="10">
                  <c:v>AREQUIPA</c:v>
                </c:pt>
                <c:pt idx="11">
                  <c:v>CAJAMARCA</c:v>
                </c:pt>
              </c:strCache>
            </c:strRef>
          </c:cat>
          <c:val>
            <c:numRef>
              <c:f>'[6]PRODUCC MAD ASERR'!$F$15:$F$26</c:f>
              <c:numCache>
                <c:formatCode>General</c:formatCode>
                <c:ptCount val="12"/>
                <c:pt idx="0">
                  <c:v>234554.2840502797</c:v>
                </c:pt>
                <c:pt idx="1">
                  <c:v>230185.5325849033</c:v>
                </c:pt>
                <c:pt idx="2">
                  <c:v>126525.19843269496</c:v>
                </c:pt>
                <c:pt idx="3">
                  <c:v>66452.666000053883</c:v>
                </c:pt>
                <c:pt idx="4">
                  <c:v>58146.610574633611</c:v>
                </c:pt>
                <c:pt idx="5">
                  <c:v>23135.457056048243</c:v>
                </c:pt>
                <c:pt idx="6">
                  <c:v>22452.106867924555</c:v>
                </c:pt>
                <c:pt idx="7">
                  <c:v>7679.0029999999979</c:v>
                </c:pt>
                <c:pt idx="8">
                  <c:v>1137.1784999999998</c:v>
                </c:pt>
                <c:pt idx="9">
                  <c:v>628.68689999999992</c:v>
                </c:pt>
                <c:pt idx="10">
                  <c:v>197.2766</c:v>
                </c:pt>
                <c:pt idx="11">
                  <c:v>196.12816981132076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2D6-466C-9FAE-2F705C76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0390416"/>
        <c:axId val="320390808"/>
      </c:barChart>
      <c:catAx>
        <c:axId val="32039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0390808"/>
        <c:crosses val="autoZero"/>
        <c:auto val="1"/>
        <c:lblAlgn val="ctr"/>
        <c:lblOffset val="100"/>
        <c:noMultiLvlLbl val="0"/>
      </c:catAx>
      <c:valAx>
        <c:axId val="320390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03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7BC-4906-AB4E-DC52104252E5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7BC-4906-AB4E-DC52104252E5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7BC-4906-AB4E-DC52104252E5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27BC-4906-AB4E-DC52104252E5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7BC-4906-AB4E-DC52104252E5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27BC-4906-AB4E-DC52104252E5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BC-4906-AB4E-DC52104252E5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27BC-4906-AB4E-DC5210425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790941760"/>
        <c:axId val="790925440"/>
      </c:barChart>
      <c:catAx>
        <c:axId val="7909417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25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092544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417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9" orientation="landscape" horizontalDpi="-4" verticalDpi="72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D7-4DC7-AD7C-0F7D1C428525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D7-4DC7-AD7C-0F7D1C428525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5D7-4DC7-AD7C-0F7D1C428525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5D7-4DC7-AD7C-0F7D1C428525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25D7-4DC7-AD7C-0F7D1C428525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25D7-4DC7-AD7C-0F7D1C428525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25D7-4DC7-AD7C-0F7D1C428525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25D7-4DC7-AD7C-0F7D1C428525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25D7-4DC7-AD7C-0F7D1C428525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25D7-4DC7-AD7C-0F7D1C428525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D7-4DC7-AD7C-0F7D1C428525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D7-4DC7-AD7C-0F7D1C428525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D7-4DC7-AD7C-0F7D1C428525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D7-4DC7-AD7C-0F7D1C428525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D7-4DC7-AD7C-0F7D1C428525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D7-4DC7-AD7C-0F7D1C428525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5D7-4DC7-AD7C-0F7D1C428525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5D7-4DC7-AD7C-0F7D1C428525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5D7-4DC7-AD7C-0F7D1C428525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5D7-4DC7-AD7C-0F7D1C428525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987.21699999999896</c:v>
              </c:pt>
              <c:pt idx="2">
                <c:v>1639.9549999999899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319.49099999999697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25D7-4DC7-AD7C-0F7D1C428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268" orientation="landscape" horizontalDpi="-3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C7F-416E-BAF4-003103021577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C7F-416E-BAF4-003103021577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CC7F-416E-BAF4-00310302157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CC7F-416E-BAF4-003103021577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CC7F-416E-BAF4-003103021577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CC7F-416E-BAF4-003103021577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7F-416E-BAF4-003103021577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CC7F-416E-BAF4-003103021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790931424"/>
        <c:axId val="790953184"/>
      </c:barChart>
      <c:catAx>
        <c:axId val="79093142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53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0953184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31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3F-4EDE-8898-E763B2B343DB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6F3F-4EDE-8898-E763B2B343DB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6F3F-4EDE-8898-E763B2B343DB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6F3F-4EDE-8898-E763B2B343DB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6F3F-4EDE-8898-E763B2B343D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6F3F-4EDE-8898-E763B2B343DB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6F3F-4EDE-8898-E763B2B343DB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6F3F-4EDE-8898-E763B2B343D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6F3F-4EDE-8898-E763B2B343D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6F3F-4EDE-8898-E763B2B343DB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3F-4EDE-8898-E763B2B343DB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3F-4EDE-8898-E763B2B343DB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3F-4EDE-8898-E763B2B343DB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3F-4EDE-8898-E763B2B343DB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3F-4EDE-8898-E763B2B343DB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3F-4EDE-8898-E763B2B343DB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3F-4EDE-8898-E763B2B343DB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F3F-4EDE-8898-E763B2B343DB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3F-4EDE-8898-E763B2B343DB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F3F-4EDE-8898-E763B2B343DB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987.21699999999896</c:v>
              </c:pt>
              <c:pt idx="2">
                <c:v>1639.9549999999899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319.49099999999697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6F3F-4EDE-8898-E763B2B34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AF-4829-BDE8-4D92B863F154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BAF-4829-BDE8-4D92B863F154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9BAF-4829-BDE8-4D92B863F15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9BAF-4829-BDE8-4D92B863F154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9BAF-4829-BDE8-4D92B863F154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9BAF-4829-BDE8-4D92B863F154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AF-4829-BDE8-4D92B863F154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9BAF-4829-BDE8-4D92B863F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790941216"/>
        <c:axId val="790930880"/>
      </c:barChart>
      <c:catAx>
        <c:axId val="7909412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30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093088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412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44" r="0.75000000000000644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7EF-4A33-A146-E76685F05DFD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7EF-4A33-A146-E76685F05DFD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7EF-4A33-A146-E76685F05DFD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D7EF-4A33-A146-E76685F05DFD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D7EF-4A33-A146-E76685F05DFD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D7EF-4A33-A146-E76685F05DFD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D7EF-4A33-A146-E76685F05DFD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D7EF-4A33-A146-E76685F05DFD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D7EF-4A33-A146-E76685F05DFD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D7EF-4A33-A146-E76685F05DFD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EF-4A33-A146-E76685F05DFD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EF-4A33-A146-E76685F05DFD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EF-4A33-A146-E76685F05DFD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EF-4A33-A146-E76685F05DFD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EF-4A33-A146-E76685F05DFD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EF-4A33-A146-E76685F05DFD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EF-4A33-A146-E76685F05DFD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EF-4A33-A146-E76685F05DFD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7EF-4A33-A146-E76685F05DFD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EF-4A33-A146-E76685F05DFD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987.21699999999703</c:v>
              </c:pt>
              <c:pt idx="2">
                <c:v>1639.9549999999699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319.49099999999402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D7EF-4A33-A146-E76685F05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44" r="0.75000000000000644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4FE-4F7B-B3BF-915AABBAEB3C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4FE-4F7B-B3BF-915AABBAEB3C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F4FE-4F7B-B3BF-915AABBAEB3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F4FE-4F7B-B3BF-915AABBAEB3C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F4FE-4F7B-B3BF-915AABBAEB3C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F4FE-4F7B-B3BF-915AABBAEB3C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4FE-4F7B-B3BF-915AABBAEB3C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F4FE-4F7B-B3BF-915AABBAE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790931968"/>
        <c:axId val="790949920"/>
      </c:barChart>
      <c:catAx>
        <c:axId val="79093196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49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094992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319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66" r="0.75000000000000666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8AF-40BD-A2AA-84F9A4F337D5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8AF-40BD-A2AA-84F9A4F337D5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8AF-40BD-A2AA-84F9A4F337D5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8AF-40BD-A2AA-84F9A4F337D5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E8AF-40BD-A2AA-84F9A4F337D5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E8AF-40BD-A2AA-84F9A4F337D5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E8AF-40BD-A2AA-84F9A4F337D5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E8AF-40BD-A2AA-84F9A4F337D5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E8AF-40BD-A2AA-84F9A4F337D5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E8AF-40BD-A2AA-84F9A4F337D5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AF-40BD-A2AA-84F9A4F337D5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AF-40BD-A2AA-84F9A4F337D5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AF-40BD-A2AA-84F9A4F337D5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AF-40BD-A2AA-84F9A4F337D5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AF-40BD-A2AA-84F9A4F337D5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AF-40BD-A2AA-84F9A4F337D5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AF-40BD-A2AA-84F9A4F337D5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AF-40BD-A2AA-84F9A4F337D5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AF-40BD-A2AA-84F9A4F337D5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8AF-40BD-A2AA-84F9A4F337D5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987.21699999999703</c:v>
              </c:pt>
              <c:pt idx="2">
                <c:v>1639.9549999999699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319.49099999999402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E8AF-40BD-A2AA-84F9A4F3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66" r="0.75000000000000666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9AD-49A9-AD68-07FC1B2569B7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9AD-49A9-AD68-07FC1B2569B7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9AD-49A9-AD68-07FC1B2569B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09AD-49A9-AD68-07FC1B2569B7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09AD-49A9-AD68-07FC1B2569B7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09AD-49A9-AD68-07FC1B2569B7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AD-49A9-AD68-07FC1B2569B7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09AD-49A9-AD68-07FC1B256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790944480"/>
        <c:axId val="790946656"/>
      </c:barChart>
      <c:catAx>
        <c:axId val="790944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46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0946656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444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9" orientation="landscape" horizontalDpi="-4" verticalDpi="72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0DBD-4E49-98DB-3311BA14D1EF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0DBD-4E49-98DB-3311BA14D1EF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0DBD-4E49-98DB-3311BA14D1EF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0DBD-4E49-98DB-3311BA14D1EF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0DBD-4E49-98DB-3311BA14D1E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0DBD-4E49-98DB-3311BA14D1EF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0DBD-4E49-98DB-3311BA14D1EF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0DBD-4E49-98DB-3311BA14D1E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0DBD-4E49-98DB-3311BA14D1E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0DBD-4E49-98DB-3311BA14D1EF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BD-4E49-98DB-3311BA14D1EF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BD-4E49-98DB-3311BA14D1EF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BD-4E49-98DB-3311BA14D1EF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BD-4E49-98DB-3311BA14D1EF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BD-4E49-98DB-3311BA14D1EF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BD-4E49-98DB-3311BA14D1EF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DBD-4E49-98DB-3311BA14D1EF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DBD-4E49-98DB-3311BA14D1EF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DBD-4E49-98DB-3311BA14D1EF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DBD-4E49-98DB-3311BA14D1EF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987.21699999999805</c:v>
              </c:pt>
              <c:pt idx="2">
                <c:v>1639.9549999999799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319.49099999999601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0DBD-4E49-98DB-3311BA14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268" orientation="landscape" horizontalDpi="-3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968654186563004E-3"/>
          <c:y val="0.21486027149832074"/>
          <c:w val="0.9150733170876002"/>
          <c:h val="0.78513972850167923"/>
        </c:manualLayout>
      </c:layout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9A-4410-8F43-DEDC4BB0E7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9A-4410-8F43-DEDC4BB0E7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9A-4410-8F43-DEDC4BB0E7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9A-4410-8F43-DEDC4BB0E7D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9A-4410-8F43-DEDC4BB0E7D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E9A-4410-8F43-DEDC4BB0E7D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E9A-4410-8F43-DEDC4BB0E7D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E9A-4410-8F43-DEDC4BB0E7D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E9A-4410-8F43-DEDC4BB0E7D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E9A-4410-8F43-DEDC4BB0E7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E9A-4410-8F43-DEDC4BB0E7D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E9A-4410-8F43-DEDC4BB0E7D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E9A-4410-8F43-DEDC4BB0E7D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E9A-4410-8F43-DEDC4BB0E7D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E9A-4410-8F43-DEDC4BB0E7D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E9A-4410-8F43-DEDC4BB0E7D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E9A-4410-8F43-DEDC4BB0E7D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E9A-4410-8F43-DEDC4BB0E7D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E9A-4410-8F43-DEDC4BB0E7D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E9A-4410-8F43-DEDC4BB0E7D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E9A-4410-8F43-DEDC4BB0E7D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6E9A-4410-8F43-DEDC4BB0E7D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E9A-4410-8F43-DEDC4BB0E7D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6E9A-4410-8F43-DEDC4BB0E7D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6E9A-4410-8F43-DEDC4BB0E7D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6E9A-4410-8F43-DEDC4BB0E7D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6E9A-4410-8F43-DEDC4BB0E7D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6E9A-4410-8F43-DEDC4BB0E7D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6E9A-4410-8F43-DEDC4BB0E7DA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6E9A-4410-8F43-DEDC4BB0E7DA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6E9A-4410-8F43-DEDC4BB0E7DA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6E9A-4410-8F43-DEDC4BB0E7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'[6]PARQUET X SP'!$E$64:$E$79</c:f>
              <c:strCache>
                <c:ptCount val="16"/>
                <c:pt idx="0">
                  <c:v>SHIHUAHUACO</c:v>
                </c:pt>
                <c:pt idx="1">
                  <c:v>ESTORAQUE</c:v>
                </c:pt>
                <c:pt idx="2">
                  <c:v>ANA CASPI</c:v>
                </c:pt>
                <c:pt idx="3">
                  <c:v>TAHUARI</c:v>
                </c:pt>
                <c:pt idx="4">
                  <c:v>MASHONASTE</c:v>
                </c:pt>
                <c:pt idx="5">
                  <c:v>CACHIMBO</c:v>
                </c:pt>
                <c:pt idx="6">
                  <c:v>QUINILLA</c:v>
                </c:pt>
                <c:pt idx="7">
                  <c:v>AZUCAR HUAYO</c:v>
                </c:pt>
                <c:pt idx="8">
                  <c:v>HUAYRURO</c:v>
                </c:pt>
                <c:pt idx="9">
                  <c:v>YACUSHAPANA</c:v>
                </c:pt>
                <c:pt idx="10">
                  <c:v>CAPIRONA</c:v>
                </c:pt>
                <c:pt idx="11">
                  <c:v>QUINA QUINA</c:v>
                </c:pt>
                <c:pt idx="12">
                  <c:v>AGUANO MASHA</c:v>
                </c:pt>
                <c:pt idx="13">
                  <c:v>PUMAQUIRO</c:v>
                </c:pt>
                <c:pt idx="14">
                  <c:v>PALISANGRE</c:v>
                </c:pt>
                <c:pt idx="15">
                  <c:v>Otros</c:v>
                </c:pt>
              </c:strCache>
            </c:strRef>
          </c:cat>
          <c:val>
            <c:numRef>
              <c:f>'[6]PARQUET X SP'!$F$64:$F$79</c:f>
              <c:numCache>
                <c:formatCode>General</c:formatCode>
                <c:ptCount val="16"/>
                <c:pt idx="0">
                  <c:v>11354.771490978457</c:v>
                </c:pt>
                <c:pt idx="1">
                  <c:v>879.83464905660378</c:v>
                </c:pt>
                <c:pt idx="2">
                  <c:v>666.68527830188668</c:v>
                </c:pt>
                <c:pt idx="3">
                  <c:v>572.69099056603761</c:v>
                </c:pt>
                <c:pt idx="4">
                  <c:v>487.81370440251573</c:v>
                </c:pt>
                <c:pt idx="5">
                  <c:v>362.42277830188686</c:v>
                </c:pt>
                <c:pt idx="6">
                  <c:v>340.08357405660377</c:v>
                </c:pt>
                <c:pt idx="7">
                  <c:v>255.10964150943397</c:v>
                </c:pt>
                <c:pt idx="8">
                  <c:v>213.09445849056607</c:v>
                </c:pt>
                <c:pt idx="9">
                  <c:v>166.18466037735851</c:v>
                </c:pt>
                <c:pt idx="10">
                  <c:v>163.95756132075471</c:v>
                </c:pt>
                <c:pt idx="11">
                  <c:v>92.450575471698102</c:v>
                </c:pt>
                <c:pt idx="12">
                  <c:v>57.225000000000001</c:v>
                </c:pt>
                <c:pt idx="13">
                  <c:v>57.117000000000004</c:v>
                </c:pt>
                <c:pt idx="14">
                  <c:v>52.635306603773593</c:v>
                </c:pt>
                <c:pt idx="15">
                  <c:v>109.12996226415096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E9A-4410-8F43-DEDC4BB0E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6988975"/>
        <c:axId val="1932860687"/>
      </c:barChart>
      <c:valAx>
        <c:axId val="193286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46988975"/>
        <c:crosses val="autoZero"/>
        <c:crossBetween val="between"/>
      </c:valAx>
      <c:catAx>
        <c:axId val="84698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32860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167-45FC-8D55-3F631A208AB4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167-45FC-8D55-3F631A208AB4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167-45FC-8D55-3F631A208AB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A167-45FC-8D55-3F631A208AB4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A167-45FC-8D55-3F631A208AB4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A167-45FC-8D55-3F631A208AB4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67-45FC-8D55-3F631A208AB4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A167-45FC-8D55-3F631A208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790933056"/>
        <c:axId val="790950464"/>
      </c:barChart>
      <c:catAx>
        <c:axId val="7909330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50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0950464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330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88" r="0.75000000000000688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2C5-434C-BEE9-B7151F479F5A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2C5-434C-BEE9-B7151F479F5A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2C5-434C-BEE9-B7151F479F5A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C2C5-434C-BEE9-B7151F479F5A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C2C5-434C-BEE9-B7151F479F5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C2C5-434C-BEE9-B7151F479F5A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C2C5-434C-BEE9-B7151F479F5A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C2C5-434C-BEE9-B7151F479F5A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C2C5-434C-BEE9-B7151F479F5A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C2C5-434C-BEE9-B7151F479F5A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C5-434C-BEE9-B7151F479F5A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C5-434C-BEE9-B7151F479F5A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C5-434C-BEE9-B7151F479F5A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C5-434C-BEE9-B7151F479F5A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2C5-434C-BEE9-B7151F479F5A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2C5-434C-BEE9-B7151F479F5A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2C5-434C-BEE9-B7151F479F5A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2C5-434C-BEE9-B7151F479F5A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2C5-434C-BEE9-B7151F479F5A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2C5-434C-BEE9-B7151F479F5A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987.21699999999703</c:v>
              </c:pt>
              <c:pt idx="2">
                <c:v>1639.9549999999699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319.49099999999402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C2C5-434C-BEE9-B7151F479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88" r="0.75000000000000688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3C6-423A-82B5-B1C5BB9A1564}"/>
            </c:ext>
          </c:extLst>
        </c:ser>
        <c:ser>
          <c:idx val="0"/>
          <c:order val="1"/>
          <c:spPr>
            <a:solidFill>
              <a:srgbClr val="8080FF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3C6-423A-82B5-B1C5BB9A1564}"/>
            </c:ext>
          </c:extLst>
        </c:ser>
        <c:ser>
          <c:idx val="2"/>
          <c:order val="2"/>
          <c:spPr>
            <a:solidFill>
              <a:srgbClr val="00FF00"/>
            </a:solidFill>
            <a:ln w="254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3C6-423A-82B5-B1C5BB9A156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3C6-423A-82B5-B1C5BB9A1564}"/>
            </c:ext>
          </c:extLst>
        </c:ser>
        <c:ser>
          <c:idx val="3"/>
          <c:order val="3"/>
          <c:spPr>
            <a:solidFill>
              <a:srgbClr val="A0E0E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3C6-423A-82B5-B1C5BB9A1564}"/>
            </c:ext>
          </c:extLst>
        </c:ser>
        <c:ser>
          <c:idx val="4"/>
          <c:order val="4"/>
          <c:spPr>
            <a:solidFill>
              <a:srgbClr val="600080"/>
            </a:solidFill>
            <a:ln w="25400">
              <a:noFill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53C6-423A-82B5-B1C5BB9A1564}"/>
            </c:ext>
          </c:extLst>
        </c:ser>
        <c:ser>
          <c:idx val="5"/>
          <c:order val="5"/>
          <c:spPr>
            <a:solidFill>
              <a:srgbClr val="FF8080"/>
            </a:solidFill>
            <a:ln w="25400">
              <a:noFill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C6-423A-82B5-B1C5BB9A1564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53C6-423A-82B5-B1C5BB9A1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790934144"/>
        <c:axId val="790934688"/>
      </c:barChart>
      <c:catAx>
        <c:axId val="79093414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34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093468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909341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9" orientation="landscape" horizontalDpi="-4" verticalDpi="72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25400">
              <a:noFill/>
            </a:ln>
          </c:spPr>
          <c:explosion val="14"/>
          <c:dPt>
            <c:idx val="0"/>
            <c:bubble3D val="0"/>
            <c:spPr>
              <a:solidFill>
                <a:srgbClr val="808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6138-46B4-AEA5-5A95A0DEFC1C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6138-46B4-AEA5-5A95A0DEFC1C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6138-46B4-AEA5-5A95A0DEFC1C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6138-46B4-AEA5-5A95A0DEFC1C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6138-46B4-AEA5-5A95A0DEFC1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6138-46B4-AEA5-5A95A0DEFC1C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6138-46B4-AEA5-5A95A0DEFC1C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6138-46B4-AEA5-5A95A0DEFC1C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6138-46B4-AEA5-5A95A0DEFC1C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6138-46B4-AEA5-5A95A0DEFC1C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38-46B4-AEA5-5A95A0DEFC1C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38-46B4-AEA5-5A95A0DEFC1C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38-46B4-AEA5-5A95A0DEFC1C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38-46B4-AEA5-5A95A0DEFC1C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38-46B4-AEA5-5A95A0DEFC1C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138-46B4-AEA5-5A95A0DEFC1C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138-46B4-AEA5-5A95A0DEFC1C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138-46B4-AEA5-5A95A0DEFC1C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138-46B4-AEA5-5A95A0DEFC1C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138-46B4-AEA5-5A95A0DEFC1C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Aguano masha</c:v>
              </c:pt>
              <c:pt idx="1">
                <c:v>Quinaquina</c:v>
              </c:pt>
              <c:pt idx="2">
                <c:v>Estoraque</c:v>
              </c:pt>
              <c:pt idx="3">
                <c:v>Pumaquiro</c:v>
              </c:pt>
              <c:pt idx="4">
                <c:v>Capirona</c:v>
              </c:pt>
              <c:pt idx="5">
                <c:v>Oreja de león</c:v>
              </c:pt>
              <c:pt idx="6">
                <c:v>Quinilla</c:v>
              </c:pt>
              <c:pt idx="7">
                <c:v>Guayacán</c:v>
              </c:pt>
              <c:pt idx="8">
                <c:v>Tahuarí</c:v>
              </c:pt>
              <c:pt idx="9">
                <c:v>Varias</c:v>
              </c:pt>
            </c:strLit>
          </c:cat>
          <c:val>
            <c:numLit>
              <c:formatCode>General</c:formatCode>
              <c:ptCount val="10"/>
              <c:pt idx="0">
                <c:v>3089.68</c:v>
              </c:pt>
              <c:pt idx="1">
                <c:v>987.21699999999805</c:v>
              </c:pt>
              <c:pt idx="2">
                <c:v>1639.9549999999799</c:v>
              </c:pt>
              <c:pt idx="3">
                <c:v>375.51</c:v>
              </c:pt>
              <c:pt idx="4">
                <c:v>168.34</c:v>
              </c:pt>
              <c:pt idx="5">
                <c:v>198.001</c:v>
              </c:pt>
              <c:pt idx="6">
                <c:v>319.49099999999601</c:v>
              </c:pt>
              <c:pt idx="7">
                <c:v>105.754</c:v>
              </c:pt>
              <c:pt idx="8">
                <c:v>101.66999999999901</c:v>
              </c:pt>
              <c:pt idx="9">
                <c:v>286.0607</c:v>
              </c:pt>
            </c:numLit>
          </c:val>
          <c:extLst>
            <c:ext xmlns:c16="http://schemas.microsoft.com/office/drawing/2014/chart" uri="{C3380CC4-5D6E-409C-BE32-E72D297353CC}">
              <c16:uniqueId val="{00000014-6138-46B4-AEA5-5A95A0DEF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paperSize="268" orientation="landscape" horizontalDpi="-3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74029875942908E-2"/>
          <c:y val="0.11224279634515565"/>
          <c:w val="0.87902508462884676"/>
          <c:h val="0.661715512769563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'Tabla38-39_DEMA CSS'!$F$9</c:f>
              <c:strCache>
                <c:ptCount val="1"/>
                <c:pt idx="0">
                  <c:v>N° DEMA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'Tabla38-39_DEMA CSS'!$B$10:$B$16</c:f>
              <c:strCache>
                <c:ptCount val="7"/>
                <c:pt idx="0">
                  <c:v>Apurímac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Cusco</c:v>
                </c:pt>
                <c:pt idx="5">
                  <c:v>Moquegua</c:v>
                </c:pt>
                <c:pt idx="6">
                  <c:v>Puno</c:v>
                </c:pt>
              </c:strCache>
            </c:strRef>
          </c:cat>
          <c:val>
            <c:numRef>
              <c:f>'Tabla38-39_DEMA CSS'!$F$10:$F$16</c:f>
              <c:numCache>
                <c:formatCode>_-* #,##0_-;\-* #,##0_-;_-* "-"??_-;_-@</c:formatCode>
                <c:ptCount val="7"/>
                <c:pt idx="0">
                  <c:v>5</c:v>
                </c:pt>
                <c:pt idx="1">
                  <c:v>26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9-4801-8370-52522E1C2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2482400"/>
        <c:axId val="952507968"/>
      </c:barChart>
      <c:lineChart>
        <c:grouping val="standard"/>
        <c:varyColors val="0"/>
        <c:ser>
          <c:idx val="1"/>
          <c:order val="1"/>
          <c:tx>
            <c:strRef>
              <c:f>'Tabla38-39_DEMA CSS'!$G$9</c:f>
              <c:strCache>
                <c:ptCount val="1"/>
                <c:pt idx="0">
                  <c:v>Superficie (ha)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696194225721772E-2"/>
                  <c:y val="-0.143254298268896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39-4801-8370-52522E1C2902}"/>
                </c:ext>
              </c:extLst>
            </c:dLbl>
            <c:dLbl>
              <c:idx val="1"/>
              <c:layout>
                <c:manualLayout>
                  <c:x val="-3.3879536609647959E-2"/>
                  <c:y val="0.219485387360287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39-4801-8370-52522E1C2902}"/>
                </c:ext>
              </c:extLst>
            </c:dLbl>
            <c:dLbl>
              <c:idx val="2"/>
              <c:layout>
                <c:manualLayout>
                  <c:x val="-4.7824679131489953E-2"/>
                  <c:y val="-0.201882162722952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39-4801-8370-52522E1C2902}"/>
                </c:ext>
              </c:extLst>
            </c:dLbl>
            <c:dLbl>
              <c:idx val="3"/>
              <c:layout>
                <c:manualLayout>
                  <c:x val="-3.7193370224425232E-2"/>
                  <c:y val="-9.10053470109849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39-4801-8370-52522E1C2902}"/>
                </c:ext>
              </c:extLst>
            </c:dLbl>
            <c:dLbl>
              <c:idx val="4"/>
              <c:layout>
                <c:manualLayout>
                  <c:x val="-4.4282069109316737E-2"/>
                  <c:y val="-0.110822351085582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39-4801-8370-52522E1C2902}"/>
                </c:ext>
              </c:extLst>
            </c:dLbl>
            <c:dLbl>
              <c:idx val="5"/>
              <c:layout>
                <c:manualLayout>
                  <c:x val="-4.3933387636890218E-2"/>
                  <c:y val="0.209650830163083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39-4801-8370-52522E1C2902}"/>
                </c:ext>
              </c:extLst>
            </c:dLbl>
            <c:dLbl>
              <c:idx val="6"/>
              <c:layout>
                <c:manualLayout>
                  <c:x val="-4.5257319666938078E-2"/>
                  <c:y val="-0.402225662803385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067585301837263E-2"/>
                      <c:h val="5.69102598130289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339-4801-8370-52522E1C2902}"/>
                </c:ext>
              </c:extLst>
            </c:dLbl>
            <c:dLbl>
              <c:idx val="7"/>
              <c:layout>
                <c:manualLayout>
                  <c:x val="-4.7831666610068088E-2"/>
                  <c:y val="-9.9084669467069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339-4801-8370-52522E1C29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'Tabla38-39_DEMA CSS'!$B$10:$B$16</c:f>
              <c:strCache>
                <c:ptCount val="7"/>
                <c:pt idx="0">
                  <c:v>Apurímac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Cusco</c:v>
                </c:pt>
                <c:pt idx="5">
                  <c:v>Moquegua</c:v>
                </c:pt>
                <c:pt idx="6">
                  <c:v>Puno</c:v>
                </c:pt>
              </c:strCache>
            </c:strRef>
          </c:cat>
          <c:val>
            <c:numRef>
              <c:f>'Tabla38-39_DEMA CSS'!$G$10:$G$16</c:f>
              <c:numCache>
                <c:formatCode>_-* #,##0.00_-;\-* #,##0.00_-;_-* "-"??_-;_-@</c:formatCode>
                <c:ptCount val="7"/>
                <c:pt idx="0">
                  <c:v>3461.5643</c:v>
                </c:pt>
                <c:pt idx="1">
                  <c:v>255809.59460000001</c:v>
                </c:pt>
                <c:pt idx="2">
                  <c:v>5710.8780999999999</c:v>
                </c:pt>
                <c:pt idx="3">
                  <c:v>610.27</c:v>
                </c:pt>
                <c:pt idx="4">
                  <c:v>2940.3</c:v>
                </c:pt>
                <c:pt idx="5">
                  <c:v>26985.694100000001</c:v>
                </c:pt>
                <c:pt idx="6">
                  <c:v>14513.250400000001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39-4801-8370-52522E1C2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864480"/>
        <c:axId val="1458233760"/>
      </c:lineChart>
      <c:catAx>
        <c:axId val="9524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507968"/>
        <c:crosses val="autoZero"/>
        <c:auto val="1"/>
        <c:lblAlgn val="ctr"/>
        <c:lblOffset val="100"/>
        <c:noMultiLvlLbl val="0"/>
      </c:catAx>
      <c:valAx>
        <c:axId val="95250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PE" b="1"/>
                  <a:t>N° DEMA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82400"/>
        <c:crosses val="autoZero"/>
        <c:crossBetween val="between"/>
      </c:valAx>
      <c:valAx>
        <c:axId val="1458233760"/>
        <c:scaling>
          <c:orientation val="minMax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62864480"/>
        <c:crosses val="max"/>
        <c:crossBetween val="between"/>
      </c:valAx>
      <c:catAx>
        <c:axId val="1162864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8233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954770451372429E-2"/>
          <c:y val="7.9340679073826983E-2"/>
          <c:w val="0.86766014138961456"/>
          <c:h val="0.6651748311142083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'Tabla40-44_CapturayEsquila'!$D$6</c:f>
              <c:strCache>
                <c:ptCount val="1"/>
                <c:pt idx="0">
                  <c:v>N° Operativos (chaccus)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0.167929611001294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44-4137-B6B0-4B12FD8DFDE0}"/>
                </c:ext>
              </c:extLst>
            </c:dLbl>
            <c:dLbl>
              <c:idx val="7"/>
              <c:layout>
                <c:manualLayout>
                  <c:x val="0"/>
                  <c:y val="1.02023162597633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44-4137-B6B0-4B12FD8DFDE0}"/>
                </c:ext>
              </c:extLst>
            </c:dLbl>
            <c:dLbl>
              <c:idx val="8"/>
              <c:layout>
                <c:manualLayout>
                  <c:x val="-1.0854422386531362E-16"/>
                  <c:y val="-1.372054030239060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44-4137-B6B0-4B12FD8DFDE0}"/>
                </c:ext>
              </c:extLst>
            </c:dLbl>
            <c:dLbl>
              <c:idx val="11"/>
              <c:layout>
                <c:manualLayout>
                  <c:x val="1.0854422386531362E-16"/>
                  <c:y val="1.55678332571197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44-4137-B6B0-4B12FD8DF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'Tabla40-44_CapturayEsquila'!$B$7:$B$17</c:f>
              <c:strCache>
                <c:ptCount val="11"/>
                <c:pt idx="0">
                  <c:v>Apurímac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Cusco</c:v>
                </c:pt>
                <c:pt idx="5">
                  <c:v>Huancavelica</c:v>
                </c:pt>
                <c:pt idx="6">
                  <c:v>Junín</c:v>
                </c:pt>
                <c:pt idx="7">
                  <c:v>La Libertad</c:v>
                </c:pt>
                <c:pt idx="8">
                  <c:v>Lima</c:v>
                </c:pt>
                <c:pt idx="9">
                  <c:v>Moquegua</c:v>
                </c:pt>
                <c:pt idx="10">
                  <c:v>Pasco</c:v>
                </c:pt>
              </c:strCache>
            </c:strRef>
          </c:cat>
          <c:val>
            <c:numRef>
              <c:f>'Tabla40-44_CapturayEsquila'!$D$7:$D$17</c:f>
              <c:numCache>
                <c:formatCode>_-* #,##0_-;\-* #,##0_-;_-* "-"??_-;_-@_-</c:formatCode>
                <c:ptCount val="11"/>
                <c:pt idx="0">
                  <c:v>38</c:v>
                </c:pt>
                <c:pt idx="1">
                  <c:v>250</c:v>
                </c:pt>
                <c:pt idx="2">
                  <c:v>184</c:v>
                </c:pt>
                <c:pt idx="3">
                  <c:v>3</c:v>
                </c:pt>
                <c:pt idx="4">
                  <c:v>41</c:v>
                </c:pt>
                <c:pt idx="5">
                  <c:v>49</c:v>
                </c:pt>
                <c:pt idx="6">
                  <c:v>52</c:v>
                </c:pt>
                <c:pt idx="7">
                  <c:v>2</c:v>
                </c:pt>
                <c:pt idx="8">
                  <c:v>4</c:v>
                </c:pt>
                <c:pt idx="9">
                  <c:v>17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44-4137-B6B0-4B12FD8D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2497632"/>
        <c:axId val="952481856"/>
      </c:barChart>
      <c:lineChart>
        <c:grouping val="stacked"/>
        <c:varyColors val="0"/>
        <c:ser>
          <c:idx val="0"/>
          <c:order val="0"/>
          <c:tx>
            <c:strRef>
              <c:f>'Tabla40-44_CapturayEsquila'!$E$6</c:f>
              <c:strCache>
                <c:ptCount val="1"/>
                <c:pt idx="0">
                  <c:v>Fibra esquilada (kg)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0861423300937708E-2"/>
                  <c:y val="-1.7332587061512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44-4137-B6B0-4B12FD8DFDE0}"/>
                </c:ext>
              </c:extLst>
            </c:dLbl>
            <c:dLbl>
              <c:idx val="1"/>
              <c:layout>
                <c:manualLayout>
                  <c:x val="-3.075189591268556E-2"/>
                  <c:y val="-7.79334630828658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44-4137-B6B0-4B12FD8DFDE0}"/>
                </c:ext>
              </c:extLst>
            </c:dLbl>
            <c:dLbl>
              <c:idx val="2"/>
              <c:layout>
                <c:manualLayout>
                  <c:x val="-3.0751895912685536E-2"/>
                  <c:y val="-0.206745067609682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44-4137-B6B0-4B12FD8DFDE0}"/>
                </c:ext>
              </c:extLst>
            </c:dLbl>
            <c:dLbl>
              <c:idx val="3"/>
              <c:layout>
                <c:manualLayout>
                  <c:x val="-2.4732266384272464E-2"/>
                  <c:y val="-0.113856062822518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B44-4137-B6B0-4B12FD8DFDE0}"/>
                </c:ext>
              </c:extLst>
            </c:dLbl>
            <c:dLbl>
              <c:idx val="4"/>
              <c:layout>
                <c:manualLayout>
                  <c:x val="-3.2341644319948078E-2"/>
                  <c:y val="1.5490228503343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44-4137-B6B0-4B12FD8DFDE0}"/>
                </c:ext>
              </c:extLst>
            </c:dLbl>
            <c:dLbl>
              <c:idx val="5"/>
              <c:layout>
                <c:manualLayout>
                  <c:x val="-2.8164765060549643E-2"/>
                  <c:y val="-0.111570393361572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44-4137-B6B0-4B12FD8DFDE0}"/>
                </c:ext>
              </c:extLst>
            </c:dLbl>
            <c:dLbl>
              <c:idx val="6"/>
              <c:layout>
                <c:manualLayout>
                  <c:x val="-2.4331519975404475E-2"/>
                  <c:y val="-5.4443497470732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44-4137-B6B0-4B12FD8DFDE0}"/>
                </c:ext>
              </c:extLst>
            </c:dLbl>
            <c:dLbl>
              <c:idx val="7"/>
              <c:layout>
                <c:manualLayout>
                  <c:x val="-2.9048308293088174E-2"/>
                  <c:y val="-4.4013472063008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B44-4137-B6B0-4B12FD8DFDE0}"/>
                </c:ext>
              </c:extLst>
            </c:dLbl>
            <c:dLbl>
              <c:idx val="8"/>
              <c:layout>
                <c:manualLayout>
                  <c:x val="-2.9048308293088285E-2"/>
                  <c:y val="-5.9924371028800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B44-4137-B6B0-4B12FD8DFDE0}"/>
                </c:ext>
              </c:extLst>
            </c:dLbl>
            <c:dLbl>
              <c:idx val="9"/>
              <c:layout>
                <c:manualLayout>
                  <c:x val="-3.2341644319948078E-2"/>
                  <c:y val="-0.191776169335860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B44-4137-B6B0-4B12FD8DFDE0}"/>
                </c:ext>
              </c:extLst>
            </c:dLbl>
            <c:dLbl>
              <c:idx val="10"/>
              <c:layout>
                <c:manualLayout>
                  <c:x val="-3.1858805745811056E-2"/>
                  <c:y val="-6.01054108947205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B44-4137-B6B0-4B12FD8DFDE0}"/>
                </c:ext>
              </c:extLst>
            </c:dLbl>
            <c:dLbl>
              <c:idx val="11"/>
              <c:layout>
                <c:manualLayout>
                  <c:x val="-2.9048308293088285E-2"/>
                  <c:y val="-4.14235544500600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B44-4137-B6B0-4B12FD8DF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'Tabla40-44_CapturayEsquila'!$B$7:$B$17</c:f>
              <c:strCache>
                <c:ptCount val="11"/>
                <c:pt idx="0">
                  <c:v>Apurímac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Cusco</c:v>
                </c:pt>
                <c:pt idx="5">
                  <c:v>Huancavelica</c:v>
                </c:pt>
                <c:pt idx="6">
                  <c:v>Junín</c:v>
                </c:pt>
                <c:pt idx="7">
                  <c:v>La Libertad</c:v>
                </c:pt>
                <c:pt idx="8">
                  <c:v>Lima</c:v>
                </c:pt>
                <c:pt idx="9">
                  <c:v>Moquegua</c:v>
                </c:pt>
                <c:pt idx="10">
                  <c:v>Pasco</c:v>
                </c:pt>
              </c:strCache>
            </c:strRef>
          </c:cat>
          <c:val>
            <c:numRef>
              <c:f>'Tabla40-44_CapturayEsquila'!$E$7:$E$17</c:f>
              <c:numCache>
                <c:formatCode>_(* #,##0.00_);_(* \(#,##0.00\);_(* "-"??_);_(@_)</c:formatCode>
                <c:ptCount val="11"/>
                <c:pt idx="0">
                  <c:v>1023.232</c:v>
                </c:pt>
                <c:pt idx="1">
                  <c:v>4825.3854000000001</c:v>
                </c:pt>
                <c:pt idx="2">
                  <c:v>2319.2779999999998</c:v>
                </c:pt>
                <c:pt idx="3">
                  <c:v>22.239000000000001</c:v>
                </c:pt>
                <c:pt idx="4">
                  <c:v>497.77800000000002</c:v>
                </c:pt>
                <c:pt idx="5">
                  <c:v>1240.652</c:v>
                </c:pt>
                <c:pt idx="6">
                  <c:v>591.44100000000003</c:v>
                </c:pt>
                <c:pt idx="7">
                  <c:v>24.146000000000001</c:v>
                </c:pt>
                <c:pt idx="8">
                  <c:v>69.322999999999993</c:v>
                </c:pt>
                <c:pt idx="9">
                  <c:v>282.91199999999998</c:v>
                </c:pt>
                <c:pt idx="10">
                  <c:v>173.03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B44-4137-B6B0-4B12FD8D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179440"/>
        <c:axId val="1671276176"/>
      </c:lineChart>
      <c:catAx>
        <c:axId val="9524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81856"/>
        <c:crosses val="autoZero"/>
        <c:auto val="1"/>
        <c:lblAlgn val="ctr"/>
        <c:lblOffset val="100"/>
        <c:noMultiLvlLbl val="0"/>
      </c:catAx>
      <c:valAx>
        <c:axId val="952481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PE" b="1"/>
                  <a:t>N° operativos (chaccus)</a:t>
                </a:r>
              </a:p>
            </c:rich>
          </c:tx>
          <c:layout>
            <c:manualLayout>
              <c:xMode val="edge"/>
              <c:yMode val="edge"/>
              <c:x val="1.0361159242392969E-2"/>
              <c:y val="0.33528356688110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97632"/>
        <c:crosses val="autoZero"/>
        <c:crossBetween val="between"/>
      </c:valAx>
      <c:valAx>
        <c:axId val="1671276176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PE">
                    <a:solidFill>
                      <a:srgbClr val="0070C0"/>
                    </a:solidFill>
                  </a:rPr>
                  <a:t>- Fibra esquilada (kg)</a:t>
                </a:r>
              </a:p>
            </c:rich>
          </c:tx>
          <c:layout>
            <c:manualLayout>
              <c:xMode val="edge"/>
              <c:yMode val="edge"/>
              <c:x val="0.51964185586660139"/>
              <c:y val="0.944253179569737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533179440"/>
        <c:crosses val="max"/>
        <c:crossBetween val="between"/>
      </c:valAx>
      <c:catAx>
        <c:axId val="1533179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1276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1379172857818671"/>
          <c:y val="0.94179388077683612"/>
          <c:w val="0.18945898315420026"/>
          <c:h val="4.27888063287863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67027285195367E-2"/>
          <c:y val="9.7903394533917151E-2"/>
          <c:w val="0.85681954613770106"/>
          <c:h val="0.6965317581125747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2497632"/>
        <c:axId val="9524818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Fibra esquilada (kg)</c:v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12"/>
                    <c:pt idx="0">
                      <c:v>Apurímac</c:v>
                    </c:pt>
                    <c:pt idx="1">
                      <c:v>Arequipa</c:v>
                    </c:pt>
                    <c:pt idx="2">
                      <c:v>Ayacucho</c:v>
                    </c:pt>
                    <c:pt idx="3">
                      <c:v>Cajamarca</c:v>
                    </c:pt>
                    <c:pt idx="4">
                      <c:v>Cusco</c:v>
                    </c:pt>
                    <c:pt idx="5">
                      <c:v>Huancavelica</c:v>
                    </c:pt>
                    <c:pt idx="6">
                      <c:v>Junín</c:v>
                    </c:pt>
                    <c:pt idx="7">
                      <c:v>La Libertad</c:v>
                    </c:pt>
                    <c:pt idx="8">
                      <c:v>Lima</c:v>
                    </c:pt>
                    <c:pt idx="9">
                      <c:v>Pasco</c:v>
                    </c:pt>
                    <c:pt idx="10">
                      <c:v>Puno</c:v>
                    </c:pt>
                    <c:pt idx="11">
                      <c:v>Tacna</c:v>
                    </c:pt>
                  </c:strLit>
                </c:cat>
                <c:val>
                  <c:numLit>
                    <c:formatCode>General</c:formatCode>
                    <c:ptCount val="12"/>
                    <c:pt idx="0">
                      <c:v>658.61099999999988</c:v>
                    </c:pt>
                    <c:pt idx="1">
                      <c:v>3814.291000000002</c:v>
                    </c:pt>
                    <c:pt idx="2">
                      <c:v>2428.9309999999991</c:v>
                    </c:pt>
                    <c:pt idx="3">
                      <c:v>65.123999999999995</c:v>
                    </c:pt>
                    <c:pt idx="4">
                      <c:v>634.1930000000001</c:v>
                    </c:pt>
                    <c:pt idx="5">
                      <c:v>1277.3989999999999</c:v>
                    </c:pt>
                    <c:pt idx="6">
                      <c:v>622.17400000000009</c:v>
                    </c:pt>
                    <c:pt idx="7">
                      <c:v>25.977</c:v>
                    </c:pt>
                    <c:pt idx="8">
                      <c:v>83.02</c:v>
                    </c:pt>
                    <c:pt idx="9">
                      <c:v>142.04900000000001</c:v>
                    </c:pt>
                    <c:pt idx="10">
                      <c:v>1238.299</c:v>
                    </c:pt>
                    <c:pt idx="11">
                      <c:v>11.816000000000001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E-A904-4422-9E09-F469F623821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'Tabla40-44_CapturayEsquila'!$G$6</c:f>
              <c:strCache>
                <c:ptCount val="1"/>
                <c:pt idx="0">
                  <c:v>Peso promedio del vellón (g)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2437263523877697E-2"/>
                  <c:y val="2.6451973932852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04-4422-9E09-F469F6238210}"/>
                </c:ext>
              </c:extLst>
            </c:dLbl>
            <c:dLbl>
              <c:idx val="1"/>
              <c:layout>
                <c:manualLayout>
                  <c:x val="-3.4881412550703893E-2"/>
                  <c:y val="-2.4607939632545987E-2"/>
                </c:manualLayout>
              </c:layout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04-4422-9E09-F469F6238210}"/>
                </c:ext>
              </c:extLst>
            </c:dLbl>
            <c:dLbl>
              <c:idx val="2"/>
              <c:layout>
                <c:manualLayout>
                  <c:x val="-2.9753280839895046E-2"/>
                  <c:y val="2.11483409442554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04-4422-9E09-F469F6238210}"/>
                </c:ext>
              </c:extLst>
            </c:dLbl>
            <c:dLbl>
              <c:idx val="3"/>
              <c:layout>
                <c:manualLayout>
                  <c:x val="-7.2424583290725654E-3"/>
                  <c:y val="1.5844707955658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04-4422-9E09-F469F6238210}"/>
                </c:ext>
              </c:extLst>
            </c:dLbl>
            <c:dLbl>
              <c:idx val="4"/>
              <c:layout>
                <c:manualLayout>
                  <c:x val="-2.935360333714546E-2"/>
                  <c:y val="-3.1885799648652818E-2"/>
                </c:manualLayout>
              </c:layout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04-4422-9E09-F469F6238210}"/>
                </c:ext>
              </c:extLst>
            </c:dLbl>
            <c:dLbl>
              <c:idx val="5"/>
              <c:layout>
                <c:manualLayout>
                  <c:x val="-5.6570881477878705E-2"/>
                  <c:y val="-1.75763303831855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04-4422-9E09-F469F6238210}"/>
                </c:ext>
              </c:extLst>
            </c:dLbl>
            <c:dLbl>
              <c:idx val="6"/>
              <c:layout>
                <c:manualLayout>
                  <c:x val="-3.4948086034700211E-2"/>
                  <c:y val="2.38001574385539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04-4422-9E09-F469F6238210}"/>
                </c:ext>
              </c:extLst>
            </c:dLbl>
            <c:dLbl>
              <c:idx val="8"/>
              <c:layout>
                <c:manualLayout>
                  <c:x val="-3.4948086034700211E-2"/>
                  <c:y val="2.9687617172853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04-4422-9E09-F469F6238210}"/>
                </c:ext>
              </c:extLst>
            </c:dLbl>
            <c:dLbl>
              <c:idx val="9"/>
              <c:layout>
                <c:manualLayout>
                  <c:x val="-2.7059754008211308E-2"/>
                  <c:y val="-2.1636226314318024E-2"/>
                </c:manualLayout>
              </c:layout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04-4422-9E09-F469F6238210}"/>
                </c:ext>
              </c:extLst>
            </c:dLbl>
            <c:dLbl>
              <c:idx val="10"/>
              <c:layout>
                <c:manualLayout>
                  <c:x val="-9.3440949263645882E-3"/>
                  <c:y val="-2.6550705406657334E-2"/>
                </c:manualLayout>
              </c:layout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04-4422-9E09-F469F623821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PE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A904-4422-9E09-F469F62382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'Tabla40-44_CapturayEsquila'!$B$7:$B$17</c:f>
              <c:strCache>
                <c:ptCount val="11"/>
                <c:pt idx="0">
                  <c:v>Apurímac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Cusco</c:v>
                </c:pt>
                <c:pt idx="5">
                  <c:v>Huancavelica</c:v>
                </c:pt>
                <c:pt idx="6">
                  <c:v>Junín</c:v>
                </c:pt>
                <c:pt idx="7">
                  <c:v>La Libertad</c:v>
                </c:pt>
                <c:pt idx="8">
                  <c:v>Lima</c:v>
                </c:pt>
                <c:pt idx="9">
                  <c:v>Moquegua</c:v>
                </c:pt>
                <c:pt idx="10">
                  <c:v>Pasco</c:v>
                </c:pt>
              </c:strCache>
            </c:strRef>
          </c:cat>
          <c:val>
            <c:numRef>
              <c:f>'Tabla40-44_CapturayEsquila'!$G$7:$G$17</c:f>
              <c:numCache>
                <c:formatCode>_-* #,##0.00_-;\-* #,##0.00_-;_-* "-"??_-;_-@</c:formatCode>
                <c:ptCount val="11"/>
                <c:pt idx="0">
                  <c:v>149.39874434223972</c:v>
                </c:pt>
                <c:pt idx="1">
                  <c:v>181.41228617617202</c:v>
                </c:pt>
                <c:pt idx="2">
                  <c:v>156.67621428088898</c:v>
                </c:pt>
                <c:pt idx="3">
                  <c:v>190.07692307692309</c:v>
                </c:pt>
                <c:pt idx="4">
                  <c:v>158.67963021995538</c:v>
                </c:pt>
                <c:pt idx="5">
                  <c:v>192.55812509700451</c:v>
                </c:pt>
                <c:pt idx="6">
                  <c:v>165.9486531986532</c:v>
                </c:pt>
                <c:pt idx="7">
                  <c:v>117.21359223300972</c:v>
                </c:pt>
                <c:pt idx="8">
                  <c:v>139.48289738430583</c:v>
                </c:pt>
                <c:pt idx="9">
                  <c:v>220.3364485981308</c:v>
                </c:pt>
                <c:pt idx="10">
                  <c:v>159.18123275068996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04-4422-9E09-F469F6238210}"/>
            </c:ext>
          </c:extLst>
        </c:ser>
        <c:ser>
          <c:idx val="2"/>
          <c:order val="2"/>
          <c:tx>
            <c:strRef>
              <c:f>'Tabla40-44_CapturayEsquila'!$Z$56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'Tabla40-44_CapturayEsquila'!$B$7:$B$17</c:f>
              <c:strCache>
                <c:ptCount val="11"/>
                <c:pt idx="0">
                  <c:v>Apurímac</c:v>
                </c:pt>
                <c:pt idx="1">
                  <c:v>Arequipa</c:v>
                </c:pt>
                <c:pt idx="2">
                  <c:v>Ayacucho</c:v>
                </c:pt>
                <c:pt idx="3">
                  <c:v>Cajamarca</c:v>
                </c:pt>
                <c:pt idx="4">
                  <c:v>Cusco</c:v>
                </c:pt>
                <c:pt idx="5">
                  <c:v>Huancavelica</c:v>
                </c:pt>
                <c:pt idx="6">
                  <c:v>Junín</c:v>
                </c:pt>
                <c:pt idx="7">
                  <c:v>La Libertad</c:v>
                </c:pt>
                <c:pt idx="8">
                  <c:v>Lima</c:v>
                </c:pt>
                <c:pt idx="9">
                  <c:v>Moquegua</c:v>
                </c:pt>
                <c:pt idx="10">
                  <c:v>Pasco</c:v>
                </c:pt>
              </c:strCache>
            </c:strRef>
          </c:cat>
          <c:val>
            <c:numRef>
              <c:f>'Tabla40-44_CapturayEsquila'!$Z$57:$Z$67</c:f>
              <c:numCache>
                <c:formatCode>_-* #,##0.00_-;\-* #,##0.00_-;_-* "-"??_-;_-@</c:formatCode>
                <c:ptCount val="11"/>
                <c:pt idx="0">
                  <c:v>175.34460671278504</c:v>
                </c:pt>
                <c:pt idx="1">
                  <c:v>175.34460671278504</c:v>
                </c:pt>
                <c:pt idx="2">
                  <c:v>175.34460671278504</c:v>
                </c:pt>
                <c:pt idx="3">
                  <c:v>175.34460671278504</c:v>
                </c:pt>
                <c:pt idx="4">
                  <c:v>175.34460671278504</c:v>
                </c:pt>
                <c:pt idx="5">
                  <c:v>175.34460671278504</c:v>
                </c:pt>
                <c:pt idx="6">
                  <c:v>175.34460671278504</c:v>
                </c:pt>
                <c:pt idx="7">
                  <c:v>175.34460671278504</c:v>
                </c:pt>
                <c:pt idx="8">
                  <c:v>175.34460671278504</c:v>
                </c:pt>
                <c:pt idx="9">
                  <c:v>175.34460671278504</c:v>
                </c:pt>
                <c:pt idx="10">
                  <c:v>175.34460671278504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04-4422-9E09-F469F6238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497632"/>
        <c:axId val="952481856"/>
      </c:lineChart>
      <c:catAx>
        <c:axId val="9524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81856"/>
        <c:crosses val="autoZero"/>
        <c:auto val="1"/>
        <c:lblAlgn val="ctr"/>
        <c:lblOffset val="100"/>
        <c:noMultiLvlLbl val="0"/>
      </c:catAx>
      <c:valAx>
        <c:axId val="952481856"/>
        <c:scaling>
          <c:orientation val="minMax"/>
          <c:max val="2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Peso promedio vellón (g)</a:t>
                </a:r>
              </a:p>
            </c:rich>
          </c:tx>
          <c:layout>
            <c:manualLayout>
              <c:xMode val="edge"/>
              <c:yMode val="edge"/>
              <c:x val="1.736770378879272E-2"/>
              <c:y val="0.340430805337876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976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9050680498691"/>
          <c:y val="3.9803098601421116E-2"/>
          <c:w val="0.84931402984754756"/>
          <c:h val="0.87992874851862357"/>
        </c:manualLayout>
      </c:layou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[10]Tabla49_CazaFurtiva!$E$19:$E$27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[10]Tabla49_CazaFurtiva!$F$19:$F$27</c:f>
              <c:numCache>
                <c:formatCode>General</c:formatCode>
                <c:ptCount val="9"/>
                <c:pt idx="0">
                  <c:v>312</c:v>
                </c:pt>
                <c:pt idx="1">
                  <c:v>95</c:v>
                </c:pt>
                <c:pt idx="2">
                  <c:v>303</c:v>
                </c:pt>
                <c:pt idx="3">
                  <c:v>343</c:v>
                </c:pt>
                <c:pt idx="4">
                  <c:v>276</c:v>
                </c:pt>
                <c:pt idx="5">
                  <c:v>113</c:v>
                </c:pt>
                <c:pt idx="6">
                  <c:v>116</c:v>
                </c:pt>
                <c:pt idx="7">
                  <c:v>236</c:v>
                </c:pt>
                <c:pt idx="8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5-4D7A-9508-3ACE5E4B68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2484032"/>
        <c:axId val="9524758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4.1714277486986379E-3"/>
                        <c:y val="-3.454023981970091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70B5-4D7A-9508-3ACE5E4B6827}"/>
                      </c:ext>
                    </c:extLst>
                  </c:dLbl>
                  <c:dLbl>
                    <c:idx val="1"/>
                    <c:layout>
                      <c:manualLayout>
                        <c:x val="-8.5590737533342044E-3"/>
                        <c:y val="2.9942073242829959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0B5-4D7A-9508-3ACE5E4B6827}"/>
                      </c:ext>
                    </c:extLst>
                  </c:dLbl>
                  <c:dLbl>
                    <c:idx val="2"/>
                    <c:layout>
                      <c:manualLayout>
                        <c:x val="-2.7491403874571829E-2"/>
                        <c:y val="4.55933774869780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70B5-4D7A-9508-3ACE5E4B6827}"/>
                      </c:ext>
                    </c:extLst>
                  </c:dLbl>
                  <c:dLbl>
                    <c:idx val="3"/>
                    <c:layout>
                      <c:manualLayout>
                        <c:x val="-3.299937042461653E-2"/>
                        <c:y val="-3.17794757009171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70B5-4D7A-9508-3ACE5E4B6827}"/>
                      </c:ext>
                    </c:extLst>
                  </c:dLbl>
                  <c:dLbl>
                    <c:idx val="4"/>
                    <c:layout>
                      <c:manualLayout>
                        <c:x val="-2.0788831123275123E-2"/>
                        <c:y val="2.94753302850574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5.612301327082081E-2"/>
                            <c:h val="8.0377344952006116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5-70B5-4D7A-9508-3ACE5E4B6827}"/>
                      </c:ext>
                    </c:extLst>
                  </c:dLbl>
                  <c:dLbl>
                    <c:idx val="5"/>
                    <c:layout>
                      <c:manualLayout>
                        <c:x val="-4.7544394226754466E-2"/>
                        <c:y val="-3.598629788084449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70B5-4D7A-9508-3ACE5E4B6827}"/>
                      </c:ext>
                    </c:extLst>
                  </c:dLbl>
                  <c:dLbl>
                    <c:idx val="7"/>
                    <c:layout>
                      <c:manualLayout>
                        <c:x val="-3.1183614809811876E-2"/>
                        <c:y val="-3.26574289342667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6.028920546539495E-2"/>
                            <c:h val="6.9080479639401685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7-70B5-4D7A-9508-3ACE5E4B6827}"/>
                      </c:ext>
                    </c:extLst>
                  </c:dLbl>
                  <c:dLbl>
                    <c:idx val="8"/>
                    <c:layout>
                      <c:manualLayout>
                        <c:x val="-7.4818686216225769E-2"/>
                        <c:y val="-2.324337450709648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0B5-4D7A-9508-3ACE5E4B6827}"/>
                      </c:ext>
                    </c:extLst>
                  </c:dLbl>
                  <c:dLbl>
                    <c:idx val="9"/>
                    <c:layout>
                      <c:manualLayout>
                        <c:x val="-2.033832805196811E-2"/>
                        <c:y val="3.194196079780175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0B5-4D7A-9508-3ACE5E4B6827}"/>
                      </c:ext>
                    </c:extLst>
                  </c:dLbl>
                  <c:dLbl>
                    <c:idx val="10"/>
                    <c:layout>
                      <c:manualLayout>
                        <c:x val="-2.0794312093999137E-2"/>
                        <c:y val="-3.07746180488327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0B5-4D7A-9508-3ACE5E4B682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uri="{02D57815-91ED-43cb-92C2-25804820EDAC}">
                        <c15:formulaRef>
                          <c15:sqref>[10]Tabla49_CazaFurtiva!$E$19:$E$27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</c:v>
                      </c:pt>
                      <c:pt idx="6">
                        <c:v>2022</c:v>
                      </c:pt>
                      <c:pt idx="7">
                        <c:v>2023</c:v>
                      </c:pt>
                      <c:pt idx="8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[10]Tabla49_CazaFurtiva!$E$19:$E$27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</c:v>
                      </c:pt>
                      <c:pt idx="6">
                        <c:v>2022</c:v>
                      </c:pt>
                      <c:pt idx="7">
                        <c:v>2023</c:v>
                      </c:pt>
                      <c:pt idx="8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0B5-4D7A-9508-3ACE5E4B6827}"/>
                  </c:ext>
                </c:extLst>
              </c15:ser>
            </c15:filteredLineSeries>
          </c:ext>
        </c:extLst>
      </c:lineChart>
      <c:catAx>
        <c:axId val="95248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2475872"/>
        <c:crosses val="autoZero"/>
        <c:auto val="1"/>
        <c:lblAlgn val="ctr"/>
        <c:lblOffset val="100"/>
        <c:noMultiLvlLbl val="0"/>
      </c:catAx>
      <c:valAx>
        <c:axId val="95247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PE"/>
                  <a:t>N° de  Vicuñas muertas reportadas </a:t>
                </a:r>
              </a:p>
            </c:rich>
          </c:tx>
          <c:layout>
            <c:manualLayout>
              <c:xMode val="edge"/>
              <c:yMode val="edge"/>
              <c:x val="1.3565526531405796E-2"/>
              <c:y val="0.1514087543180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248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'Tabla46-47_Exportación_FoMad'!$H$10</c:f>
              <c:strCache>
                <c:ptCount val="1"/>
                <c:pt idx="0">
                  <c:v>Valor FOB ($)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DB-42D1-8541-20073BE5CD6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DB-42D1-8541-20073BE5CD6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DB-42D1-8541-20073BE5CD6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DB-42D1-8541-20073BE5CD6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DB-42D1-8541-20073BE5CD6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7DB-42D1-8541-20073BE5CD6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7DB-42D1-8541-20073BE5CD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'Tabla46-47_Exportación_FoMad'!$G$11:$G$17</c:f>
              <c:strCache>
                <c:ptCount val="7"/>
                <c:pt idx="0">
                  <c:v>Papel y cartón; manufacturas de pasta de celulosa, de papel o cartón</c:v>
                </c:pt>
                <c:pt idx="1">
                  <c:v>Madera incluidas tablillas y frisos para parques,perfilada longitudinalmente</c:v>
                </c:pt>
                <c:pt idx="2">
                  <c:v>Madera aserrada</c:v>
                </c:pt>
                <c:pt idx="3">
                  <c:v>Madera manufacturada</c:v>
                </c:pt>
                <c:pt idx="4">
                  <c:v>Muebles de madera</c:v>
                </c:pt>
                <c:pt idx="5">
                  <c:v>Madera contrachapada (Triplay) chapada y madera estratificada similar</c:v>
                </c:pt>
                <c:pt idx="6">
                  <c:v>Otros</c:v>
                </c:pt>
              </c:strCache>
            </c:strRef>
          </c:cat>
          <c:val>
            <c:numRef>
              <c:f>'Tabla46-47_Exportación_FoMad'!$H$11:$H$17</c:f>
              <c:numCache>
                <c:formatCode>#,##0.00</c:formatCode>
                <c:ptCount val="7"/>
                <c:pt idx="0">
                  <c:v>134692764.70000011</c:v>
                </c:pt>
                <c:pt idx="1">
                  <c:v>31258987.790000029</c:v>
                </c:pt>
                <c:pt idx="2">
                  <c:v>27804405.40999997</c:v>
                </c:pt>
                <c:pt idx="3">
                  <c:v>5583917.3200000003</c:v>
                </c:pt>
                <c:pt idx="4">
                  <c:v>4387309.6199999973</c:v>
                </c:pt>
                <c:pt idx="5">
                  <c:v>3181063.9100000006</c:v>
                </c:pt>
                <c:pt idx="6">
                  <c:v>10902222.789999992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DB-42D1-8541-20073BE5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2486208"/>
        <c:axId val="952502528"/>
      </c:barChart>
      <c:catAx>
        <c:axId val="95248620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502528"/>
        <c:crosses val="autoZero"/>
        <c:auto val="1"/>
        <c:lblAlgn val="ctr"/>
        <c:lblOffset val="100"/>
        <c:noMultiLvlLbl val="0"/>
      </c:catAx>
      <c:valAx>
        <c:axId val="95250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Valor FOB ($)</a:t>
                </a:r>
              </a:p>
            </c:rich>
          </c:tx>
          <c:layout>
            <c:manualLayout>
              <c:xMode val="edge"/>
              <c:yMode val="edge"/>
              <c:x val="0.88905046716047675"/>
              <c:y val="0.93862098159950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8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780127586066994"/>
          <c:y val="4.2362437957119525E-2"/>
          <c:w val="0.60750989201457561"/>
          <c:h val="0.8178858303973547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'Tabla48-49_ImportaciónForMad'!$I$6</c:f>
              <c:strCache>
                <c:ptCount val="1"/>
                <c:pt idx="0">
                  <c:v>Valor CIF ($)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FB-4A82-9896-F1523390DA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FB-4A82-9896-F1523390DA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FB-4A82-9896-F1523390DA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FB-4A82-9896-F1523390DA3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FB-4A82-9896-F1523390DA3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FB-4A82-9896-F1523390DA3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7FB-4A82-9896-F1523390DA3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7FB-4A82-9896-F1523390DA3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7FB-4A82-9896-F1523390DA3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'Tabla48-49_ImportaciónForMad'!$H$7:$H$16</c:f>
              <c:strCache>
                <c:ptCount val="10"/>
                <c:pt idx="0">
                  <c:v>Papel y cartón; manufacturas de pasta de celulosa, de papel o cartón</c:v>
                </c:pt>
                <c:pt idx="1">
                  <c:v>Muebles de madera</c:v>
                </c:pt>
                <c:pt idx="2">
                  <c:v>Madera contrachapada (Triplay) chapada y madera estratificada similar</c:v>
                </c:pt>
                <c:pt idx="3">
                  <c:v>Madera aserrada</c:v>
                </c:pt>
                <c:pt idx="4">
                  <c:v>Madera manufacturada</c:v>
                </c:pt>
                <c:pt idx="5">
                  <c:v>Madera en bruto, incluso descortezada, descarburada o escuadrada</c:v>
                </c:pt>
                <c:pt idx="6">
                  <c:v>Tableros</c:v>
                </c:pt>
                <c:pt idx="7">
                  <c:v>Pasta de madera o de las demás materias fibrosas celulósicas;papel o cartón</c:v>
                </c:pt>
                <c:pt idx="8">
                  <c:v>Papel o cartón para reciclar (desperdicios y desechos)</c:v>
                </c:pt>
                <c:pt idx="9">
                  <c:v>Otros</c:v>
                </c:pt>
              </c:strCache>
            </c:strRef>
          </c:cat>
          <c:val>
            <c:numRef>
              <c:f>'Tabla48-49_ImportaciónForMad'!$I$7:$I$16</c:f>
              <c:numCache>
                <c:formatCode>#,##0.00</c:formatCode>
                <c:ptCount val="10"/>
                <c:pt idx="0">
                  <c:v>614237594.60000002</c:v>
                </c:pt>
                <c:pt idx="1">
                  <c:v>74924083.869999915</c:v>
                </c:pt>
                <c:pt idx="2">
                  <c:v>45732493.82000003</c:v>
                </c:pt>
                <c:pt idx="3">
                  <c:v>36846155.329999916</c:v>
                </c:pt>
                <c:pt idx="4">
                  <c:v>21097334.910000004</c:v>
                </c:pt>
                <c:pt idx="5">
                  <c:v>19611057.800000023</c:v>
                </c:pt>
                <c:pt idx="6">
                  <c:v>195129124.01999989</c:v>
                </c:pt>
                <c:pt idx="7">
                  <c:v>120966279.23999992</c:v>
                </c:pt>
                <c:pt idx="8">
                  <c:v>13641476.229999995</c:v>
                </c:pt>
                <c:pt idx="9">
                  <c:v>2104174.209999999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7FB-4A82-9896-F1523390DA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2499808"/>
        <c:axId val="952483488"/>
      </c:barChart>
      <c:catAx>
        <c:axId val="95249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83488"/>
        <c:crosses val="autoZero"/>
        <c:auto val="1"/>
        <c:lblAlgn val="ctr"/>
        <c:lblOffset val="100"/>
        <c:noMultiLvlLbl val="0"/>
      </c:catAx>
      <c:valAx>
        <c:axId val="95248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b="1"/>
                  <a:t>Valor CIF ($)</a:t>
                </a:r>
              </a:p>
            </c:rich>
          </c:tx>
          <c:layout>
            <c:manualLayout>
              <c:xMode val="edge"/>
              <c:yMode val="edge"/>
              <c:x val="0.89474890503321702"/>
              <c:y val="0.915550077440523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9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'Tabla50-51_ExportaciónPFDM'!$H$8</c:f>
              <c:strCache>
                <c:ptCount val="1"/>
                <c:pt idx="0">
                  <c:v>Valor FOB ($)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80-4B30-8151-1C5168ED416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80-4B30-8151-1C5168ED416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80-4B30-8151-1C5168ED41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80-4B30-8151-1C5168ED416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80-4B30-8151-1C5168ED416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80-4B30-8151-1C5168ED416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280-4B30-8151-1C5168ED41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'Tabla50-51_ExportaciónPFDM'!$G$9:$G$15</c:f>
              <c:strCache>
                <c:ptCount val="7"/>
                <c:pt idx="0">
                  <c:v>Extractos curtientes o tintóreos; taninos y sus derivados</c:v>
                </c:pt>
                <c:pt idx="1">
                  <c:v>Tara en polvo</c:v>
                </c:pt>
                <c:pt idx="2">
                  <c:v>Cocos, nueces del Brasil y nueces de marañón </c:v>
                </c:pt>
                <c:pt idx="3">
                  <c:v>Semillas, frutos y esporas, para siembra</c:v>
                </c:pt>
                <c:pt idx="4">
                  <c:v>Gomas, resinas y demás jugos y extractos vegetales</c:v>
                </c:pt>
                <c:pt idx="5">
                  <c:v>Preparaciones de hortalizas, frutas u otros frutos o demás partes de plantas</c:v>
                </c:pt>
                <c:pt idx="6">
                  <c:v>Otros</c:v>
                </c:pt>
              </c:strCache>
            </c:strRef>
          </c:cat>
          <c:val>
            <c:numRef>
              <c:f>'Tabla50-51_ExportaciónPFDM'!$H$9:$H$15</c:f>
              <c:numCache>
                <c:formatCode>#,##0.00</c:formatCode>
                <c:ptCount val="7"/>
                <c:pt idx="0">
                  <c:v>85487608.829999968</c:v>
                </c:pt>
                <c:pt idx="1">
                  <c:v>56408984.680000015</c:v>
                </c:pt>
                <c:pt idx="2">
                  <c:v>39303555.639999986</c:v>
                </c:pt>
                <c:pt idx="3">
                  <c:v>21809252.610000007</c:v>
                </c:pt>
                <c:pt idx="4">
                  <c:v>20837445.71000002</c:v>
                </c:pt>
                <c:pt idx="5">
                  <c:v>11995684.299999991</c:v>
                </c:pt>
                <c:pt idx="6">
                  <c:v>13267123.030000003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80-4B30-8151-1C5168ED4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2504160"/>
        <c:axId val="952485120"/>
      </c:barChart>
      <c:catAx>
        <c:axId val="95250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485120"/>
        <c:crosses val="autoZero"/>
        <c:auto val="1"/>
        <c:lblAlgn val="ctr"/>
        <c:lblOffset val="100"/>
        <c:noMultiLvlLbl val="0"/>
      </c:catAx>
      <c:valAx>
        <c:axId val="95248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Valor FOB ($)</a:t>
                </a:r>
              </a:p>
            </c:rich>
          </c:tx>
          <c:layout>
            <c:manualLayout>
              <c:xMode val="edge"/>
              <c:yMode val="edge"/>
              <c:x val="0.86251577542248192"/>
              <c:y val="0.92656958976018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50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222442883521476"/>
          <c:y val="4.2395256148536981E-2"/>
          <c:w val="0.63734276241725596"/>
          <c:h val="0.7984450481701482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'Tabla52-53_ImportacionPFDM'!$H$6</c:f>
              <c:strCache>
                <c:ptCount val="1"/>
                <c:pt idx="0">
                  <c:v>Valor CIF ($)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32-43EB-9C5B-1944B77776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32-43EB-9C5B-1944B77776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32-43EB-9C5B-1944B77776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32-43EB-9C5B-1944B777762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32-43EB-9C5B-1944B777762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32-43EB-9C5B-1944B777762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532-43EB-9C5B-1944B777762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532-43EB-9C5B-1944B777762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532-43EB-9C5B-1944B77776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'Tabla52-53_ImportacionPFDM'!$G$7:$G$13</c:f>
              <c:strCache>
                <c:ptCount val="7"/>
                <c:pt idx="0">
                  <c:v>Gomas, resinas y demás jugos y extractos vegetales</c:v>
                </c:pt>
                <c:pt idx="1">
                  <c:v>Caucho y sus manufacturas</c:v>
                </c:pt>
                <c:pt idx="2">
                  <c:v>Extractos curtientes o tintóreos; taninos y sus derivados</c:v>
                </c:pt>
                <c:pt idx="3">
                  <c:v>Semillas, frutos y esporas, para siembra.</c:v>
                </c:pt>
                <c:pt idx="4">
                  <c:v>Aceites esenciales y resinoides</c:v>
                </c:pt>
                <c:pt idx="5">
                  <c:v>Manufacturas de espartería o cestería</c:v>
                </c:pt>
                <c:pt idx="6">
                  <c:v>Otros</c:v>
                </c:pt>
              </c:strCache>
            </c:strRef>
          </c:cat>
          <c:val>
            <c:numRef>
              <c:f>'Tabla52-53_ImportacionPFDM'!$H$7:$H$13</c:f>
              <c:numCache>
                <c:formatCode>#,##0.00</c:formatCode>
                <c:ptCount val="7"/>
                <c:pt idx="0">
                  <c:v>20883098.850000009</c:v>
                </c:pt>
                <c:pt idx="1">
                  <c:v>16930183.199999992</c:v>
                </c:pt>
                <c:pt idx="2">
                  <c:v>4127590.6000000006</c:v>
                </c:pt>
                <c:pt idx="3">
                  <c:v>3789568.9900000007</c:v>
                </c:pt>
                <c:pt idx="4">
                  <c:v>1920390.0700000003</c:v>
                </c:pt>
                <c:pt idx="5">
                  <c:v>1377290.9500000011</c:v>
                </c:pt>
                <c:pt idx="6">
                  <c:v>2057712.5499999998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532-43EB-9C5B-1944B7777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2504704"/>
        <c:axId val="952503072"/>
      </c:barChart>
      <c:catAx>
        <c:axId val="95250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503072"/>
        <c:crosses val="autoZero"/>
        <c:auto val="1"/>
        <c:lblAlgn val="ctr"/>
        <c:lblOffset val="100"/>
        <c:noMultiLvlLbl val="0"/>
      </c:catAx>
      <c:valAx>
        <c:axId val="95250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b="1"/>
                  <a:t>Valor CIF ($)</a:t>
                </a:r>
              </a:p>
            </c:rich>
          </c:tx>
          <c:layout>
            <c:manualLayout>
              <c:xMode val="edge"/>
              <c:yMode val="edge"/>
              <c:x val="0.87069175131734489"/>
              <c:y val="0.91084687697361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5250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Balanza comercial 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513958250976177"/>
          <c:y val="0.17171291989599291"/>
          <c:w val="0.82057152230971131"/>
          <c:h val="0.69570325446001069"/>
        </c:manualLayout>
      </c:layout>
      <c:barChart>
        <c:barDir val="col"/>
        <c:grouping val="clustered"/>
        <c:varyColors val="0"/>
        <c:ser>
          <c:idx val="0"/>
          <c:order val="0"/>
          <c:tx>
            <c:v>Exportaciones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2024</c:v>
              </c:pt>
            </c:numLit>
          </c:cat>
          <c:val>
            <c:numRef>
              <c:f>'[13]BALANZA COMERCIAL 2024'!$C$7</c:f>
              <c:numCache>
                <c:formatCode>General</c:formatCode>
                <c:ptCount val="1"/>
                <c:pt idx="0">
                  <c:v>466920326.34000003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7-41CD-8D9A-953C0B14B6C0}"/>
            </c:ext>
          </c:extLst>
        </c:ser>
        <c:ser>
          <c:idx val="1"/>
          <c:order val="1"/>
          <c:tx>
            <c:v>Importaciones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2024</c:v>
              </c:pt>
            </c:numLit>
          </c:cat>
          <c:val>
            <c:numRef>
              <c:f>'[13]BALANZA COMERCIAL 2024'!$C$12</c:f>
              <c:numCache>
                <c:formatCode>General</c:formatCode>
                <c:ptCount val="1"/>
                <c:pt idx="0">
                  <c:v>1195375609.2399998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7-41CD-8D9A-953C0B14B6C0}"/>
            </c:ext>
          </c:extLst>
        </c:ser>
        <c:ser>
          <c:idx val="2"/>
          <c:order val="2"/>
          <c:tx>
            <c:v>Balanza comercial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2024</c:v>
              </c:pt>
            </c:numLit>
          </c:cat>
          <c:val>
            <c:numRef>
              <c:f>'[13]BALANZA COMERCIAL 2024'!$C$17</c:f>
              <c:numCache>
                <c:formatCode>General</c:formatCode>
                <c:ptCount val="1"/>
                <c:pt idx="0">
                  <c:v>-728455282.89999974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87-41CD-8D9A-953C0B14B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3376"/>
        <c:axId val="14003792"/>
      </c:barChart>
      <c:catAx>
        <c:axId val="140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003792"/>
        <c:crosses val="autoZero"/>
        <c:auto val="1"/>
        <c:lblAlgn val="ctr"/>
        <c:lblOffset val="100"/>
        <c:noMultiLvlLbl val="0"/>
      </c:catAx>
      <c:valAx>
        <c:axId val="140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0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7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image" Target="../media/image9.png"/><Relationship Id="rId4" Type="http://schemas.openxmlformats.org/officeDocument/2006/relationships/chart" Target="../charts/chart2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17</xdr:col>
      <xdr:colOff>600074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B77599-C5F6-7901-FE41-11759D218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6</xdr:col>
      <xdr:colOff>391584</xdr:colOff>
      <xdr:row>104</xdr:row>
      <xdr:rowOff>79018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236162-CDA6-B7A6-10B5-F370DE7CC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5695083"/>
          <a:ext cx="7133167" cy="4651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15</xdr:col>
      <xdr:colOff>760074</xdr:colOff>
      <xdr:row>22</xdr:row>
      <xdr:rowOff>163363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1DC657-358F-4E88-9344-2F5833B83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6464" y="952500"/>
          <a:ext cx="5413717" cy="3401863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136072</xdr:colOff>
      <xdr:row>32</xdr:row>
      <xdr:rowOff>95250</xdr:rowOff>
    </xdr:from>
    <xdr:to>
      <xdr:col>16</xdr:col>
      <xdr:colOff>120539</xdr:colOff>
      <xdr:row>55</xdr:row>
      <xdr:rowOff>163682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C501100-9C22-85DA-8D68-2E5CB92AD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2536" y="6272893"/>
          <a:ext cx="5413717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6</xdr:col>
      <xdr:colOff>462642</xdr:colOff>
      <xdr:row>70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BA6041E-1DFD-BC71-19C1-BABD57CEE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10110107"/>
          <a:ext cx="6857999" cy="342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766761</xdr:colOff>
      <xdr:row>5</xdr:row>
      <xdr:rowOff>61911</xdr:rowOff>
    </xdr:from>
    <xdr:to>
      <xdr:col>19</xdr:col>
      <xdr:colOff>66675</xdr:colOff>
      <xdr:row>25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38D2C0-008C-F8DA-CC75-90B78CA53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4761</xdr:colOff>
      <xdr:row>6</xdr:row>
      <xdr:rowOff>71437</xdr:rowOff>
    </xdr:from>
    <xdr:to>
      <xdr:col>18</xdr:col>
      <xdr:colOff>771525</xdr:colOff>
      <xdr:row>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924671-95FB-8E9D-9E96-FD45798B1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15</xdr:col>
      <xdr:colOff>95250</xdr:colOff>
      <xdr:row>32</xdr:row>
      <xdr:rowOff>93498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C2696E-8589-A98D-D68B-908A7165B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1750" y="1280583"/>
          <a:ext cx="7122583" cy="51734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5</xdr:col>
      <xdr:colOff>539750</xdr:colOff>
      <xdr:row>145</xdr:row>
      <xdr:rowOff>101220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223AC92-AC31-28A3-9AD5-2711530C5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1875750"/>
          <a:ext cx="6572250" cy="7340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24847</xdr:colOff>
      <xdr:row>8</xdr:row>
      <xdr:rowOff>48867</xdr:rowOff>
    </xdr:from>
    <xdr:to>
      <xdr:col>15</xdr:col>
      <xdr:colOff>770283</xdr:colOff>
      <xdr:row>30</xdr:row>
      <xdr:rowOff>57979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3E4152-0DF1-FB60-E1C6-68A6E5DD8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35274</xdr:colOff>
      <xdr:row>20</xdr:row>
      <xdr:rowOff>98572</xdr:rowOff>
    </xdr:from>
    <xdr:to>
      <xdr:col>6</xdr:col>
      <xdr:colOff>394770</xdr:colOff>
      <xdr:row>37</xdr:row>
      <xdr:rowOff>82627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2B1233-D7EE-4903-A3A4-E00B5C11D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C7D2B-CA42-4DE0-B91E-B53CA2FCC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24</xdr:row>
      <xdr:rowOff>0</xdr:rowOff>
    </xdr:from>
    <xdr:to>
      <xdr:col>3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0A31E-2F5D-428F-B179-DC6835A86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0ADBE66-D2C3-4CF5-BC28-04033CCF6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30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EC76263A-26FA-44CA-9A3B-46F05B4A6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1045427</xdr:colOff>
      <xdr:row>8</xdr:row>
      <xdr:rowOff>11616</xdr:rowOff>
    </xdr:from>
    <xdr:to>
      <xdr:col>9</xdr:col>
      <xdr:colOff>583348</xdr:colOff>
      <xdr:row>29</xdr:row>
      <xdr:rowOff>53200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4635E9C1-3457-48F2-BF54-631DC29C1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104543</xdr:colOff>
      <xdr:row>40</xdr:row>
      <xdr:rowOff>151007</xdr:rowOff>
    </xdr:from>
    <xdr:to>
      <xdr:col>13</xdr:col>
      <xdr:colOff>325244</xdr:colOff>
      <xdr:row>70</xdr:row>
      <xdr:rowOff>65578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B55FDD-32DE-C833-1B46-D227EB36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4787" y="6969513"/>
          <a:ext cx="6876585" cy="47932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11</xdr:col>
      <xdr:colOff>444538</xdr:colOff>
      <xdr:row>30</xdr:row>
      <xdr:rowOff>151980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BF2E352B-35F4-4D87-8EB9-888BEED3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21165</xdr:rowOff>
    </xdr:from>
    <xdr:to>
      <xdr:col>13</xdr:col>
      <xdr:colOff>31369</xdr:colOff>
      <xdr:row>58</xdr:row>
      <xdr:rowOff>116416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1B5C8C8-3502-BDEC-37E0-EB6017E52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4667" y="6064248"/>
          <a:ext cx="6667119" cy="37465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59</xdr:row>
      <xdr:rowOff>0</xdr:rowOff>
    </xdr:from>
    <xdr:to>
      <xdr:col>4</xdr:col>
      <xdr:colOff>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E5961-C91F-4FAB-917A-AD3CC430C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59</xdr:row>
      <xdr:rowOff>0</xdr:rowOff>
    </xdr:from>
    <xdr:to>
      <xdr:col>4</xdr:col>
      <xdr:colOff>0</xdr:colOff>
      <xdr:row>59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8E65A4-6CE3-4CA8-A307-D3836BEA5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4</xdr:col>
      <xdr:colOff>0</xdr:colOff>
      <xdr:row>90</xdr:row>
      <xdr:rowOff>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F5071BF1-8CEC-42A0-9C2C-C55BD7035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90</xdr:row>
      <xdr:rowOff>0</xdr:rowOff>
    </xdr:from>
    <xdr:to>
      <xdr:col>4</xdr:col>
      <xdr:colOff>0</xdr:colOff>
      <xdr:row>90</xdr:row>
      <xdr:rowOff>0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77EFF52B-49AE-4EC7-903D-6A0AB6AC2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3</xdr:col>
      <xdr:colOff>0</xdr:colOff>
      <xdr:row>57</xdr:row>
      <xdr:rowOff>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536AF0C8-7F67-4A3F-A798-4654EBDCF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76200</xdr:colOff>
      <xdr:row>57</xdr:row>
      <xdr:rowOff>0</xdr:rowOff>
    </xdr:from>
    <xdr:to>
      <xdr:col>3</xdr:col>
      <xdr:colOff>0</xdr:colOff>
      <xdr:row>57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E0573571-5636-44D8-9F02-622733A94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92</xdr:row>
      <xdr:rowOff>0</xdr:rowOff>
    </xdr:from>
    <xdr:to>
      <xdr:col>3</xdr:col>
      <xdr:colOff>0</xdr:colOff>
      <xdr:row>92</xdr:row>
      <xdr:rowOff>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7ACAB5AC-A69F-4296-95C8-A4E5F48CF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76200</xdr:colOff>
      <xdr:row>92</xdr:row>
      <xdr:rowOff>0</xdr:rowOff>
    </xdr:from>
    <xdr:to>
      <xdr:col>3</xdr:col>
      <xdr:colOff>0</xdr:colOff>
      <xdr:row>92</xdr:row>
      <xdr:rowOff>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19484A2E-B572-47FD-ACCB-C49631512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56</xdr:row>
      <xdr:rowOff>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D18D108B-F5A4-4F4C-8803-6320405EE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76200</xdr:colOff>
      <xdr:row>56</xdr:row>
      <xdr:rowOff>0</xdr:rowOff>
    </xdr:from>
    <xdr:to>
      <xdr:col>3</xdr:col>
      <xdr:colOff>0</xdr:colOff>
      <xdr:row>56</xdr:row>
      <xdr:rowOff>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68E0E64F-C4D2-4469-B716-4557DDBF1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63499</xdr:colOff>
      <xdr:row>7</xdr:row>
      <xdr:rowOff>95250</xdr:rowOff>
    </xdr:from>
    <xdr:to>
      <xdr:col>10</xdr:col>
      <xdr:colOff>258732</xdr:colOff>
      <xdr:row>35</xdr:row>
      <xdr:rowOff>84427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59B12E48-2998-4488-8DD3-C2B707C78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55</xdr:row>
      <xdr:rowOff>0</xdr:rowOff>
    </xdr:from>
    <xdr:to>
      <xdr:col>3</xdr:col>
      <xdr:colOff>0</xdr:colOff>
      <xdr:row>55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601F492C-8732-4121-ADDB-FC444EAF7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55</xdr:row>
      <xdr:rowOff>0</xdr:rowOff>
    </xdr:from>
    <xdr:to>
      <xdr:col>3</xdr:col>
      <xdr:colOff>0</xdr:colOff>
      <xdr:row>55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1786392-A07D-486D-BC3A-A7C1CB01F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3</xdr:col>
      <xdr:colOff>0</xdr:colOff>
      <xdr:row>25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043FEA5-24D0-47FE-A88C-316418D95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25</xdr:row>
      <xdr:rowOff>0</xdr:rowOff>
    </xdr:from>
    <xdr:to>
      <xdr:col>3</xdr:col>
      <xdr:colOff>0</xdr:colOff>
      <xdr:row>25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8CAA1F1-384B-458D-8CA7-EDDE1B592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14</xdr:col>
      <xdr:colOff>158927</xdr:colOff>
      <xdr:row>28</xdr:row>
      <xdr:rowOff>124039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AFF3B51-347C-FFAF-9259-AF2E055B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54760" y="1591849"/>
          <a:ext cx="5456393" cy="32555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5</xdr:row>
      <xdr:rowOff>180974</xdr:rowOff>
    </xdr:from>
    <xdr:to>
      <xdr:col>18</xdr:col>
      <xdr:colOff>127000</xdr:colOff>
      <xdr:row>26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2FB73C-870C-493D-A0A4-6156797E1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1360170</xdr:colOff>
      <xdr:row>6</xdr:row>
      <xdr:rowOff>0</xdr:rowOff>
    </xdr:from>
    <xdr:to>
      <xdr:col>22</xdr:col>
      <xdr:colOff>78740</xdr:colOff>
      <xdr:row>24</xdr:row>
      <xdr:rowOff>161924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8B6D1B4-9A51-4E82-AA3A-597C17220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53</xdr:row>
      <xdr:rowOff>30480</xdr:rowOff>
    </xdr:from>
    <xdr:to>
      <xdr:col>21</xdr:col>
      <xdr:colOff>693420</xdr:colOff>
      <xdr:row>73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AE6610-CC80-49A8-810F-026CD0AE4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0.84842</cdr:x>
      <cdr:y>0.45044</cdr:y>
    </cdr:from>
    <cdr:to>
      <cdr:x>0.91987</cdr:x>
      <cdr:y>0.4992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468FF643-38CB-6410-A9F5-750E8254B6C5}"/>
            </a:ext>
          </a:extLst>
        </cdr:cNvPr>
        <cdr:cNvSpPr txBox="1"/>
      </cdr:nvSpPr>
      <cdr:spPr>
        <a:xfrm xmlns:a="http://schemas.openxmlformats.org/drawingml/2006/main">
          <a:off x="7745052" y="2158960"/>
          <a:ext cx="652188" cy="233719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2">
              <a:lumMod val="75000"/>
            </a:schemeClr>
          </a:solidFill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PE" sz="700" b="0" i="0">
              <a:solidFill>
                <a:schemeClr val="accent2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x̅ = 175.34</a:t>
          </a:r>
          <a:endParaRPr lang="es-PE" sz="200">
            <a:solidFill>
              <a:schemeClr val="accent2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15</xdr:row>
      <xdr:rowOff>123825</xdr:rowOff>
    </xdr:from>
    <xdr:to>
      <xdr:col>4</xdr:col>
      <xdr:colOff>457200</xdr:colOff>
      <xdr:row>30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D6DA83-8A9F-4D79-A382-F51DF18A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15239</xdr:colOff>
      <xdr:row>22</xdr:row>
      <xdr:rowOff>226693</xdr:rowOff>
    </xdr:from>
    <xdr:to>
      <xdr:col>11</xdr:col>
      <xdr:colOff>66675</xdr:colOff>
      <xdr:row>50</xdr:row>
      <xdr:rowOff>32385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25B2F0-5E80-4B09-B34F-08F48DB00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71436</xdr:colOff>
      <xdr:row>20</xdr:row>
      <xdr:rowOff>49528</xdr:rowOff>
    </xdr:from>
    <xdr:to>
      <xdr:col>13</xdr:col>
      <xdr:colOff>403860</xdr:colOff>
      <xdr:row>42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900E60-DD2A-431E-A524-8F8944C5E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</xdr:colOff>
      <xdr:row>22</xdr:row>
      <xdr:rowOff>19050</xdr:rowOff>
    </xdr:from>
    <xdr:to>
      <xdr:col>10</xdr:col>
      <xdr:colOff>123825</xdr:colOff>
      <xdr:row>44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1BE53C-A2E3-4FED-9FD8-19F9386E3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19</xdr:row>
      <xdr:rowOff>180975</xdr:rowOff>
    </xdr:from>
    <xdr:to>
      <xdr:col>9</xdr:col>
      <xdr:colOff>1790700</xdr:colOff>
      <xdr:row>41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B9D273-FA6D-40A9-A3A1-D863C5CC9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5</xdr:row>
      <xdr:rowOff>152400</xdr:rowOff>
    </xdr:from>
    <xdr:to>
      <xdr:col>15</xdr:col>
      <xdr:colOff>19050</xdr:colOff>
      <xdr:row>21</xdr:row>
      <xdr:rowOff>94615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A33ED6-63BF-4A98-BEAE-25B47BC9E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24</xdr:row>
      <xdr:rowOff>76200</xdr:rowOff>
    </xdr:from>
    <xdr:to>
      <xdr:col>15</xdr:col>
      <xdr:colOff>323850</xdr:colOff>
      <xdr:row>43</xdr:row>
      <xdr:rowOff>97631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793B33-56AC-3B7B-AADC-A20A6375F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4600575"/>
          <a:ext cx="6115050" cy="38219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4</xdr:col>
      <xdr:colOff>984592</xdr:colOff>
      <xdr:row>37</xdr:row>
      <xdr:rowOff>79453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FA99A2-79C9-D2C5-E0FC-BFAEFF4F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4876800"/>
          <a:ext cx="5413717" cy="236545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74083</xdr:colOff>
      <xdr:row>5</xdr:row>
      <xdr:rowOff>137584</xdr:rowOff>
    </xdr:from>
    <xdr:to>
      <xdr:col>15</xdr:col>
      <xdr:colOff>665362</xdr:colOff>
      <xdr:row>21</xdr:row>
      <xdr:rowOff>110927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EB6261-1223-E727-85C2-2E0F6E5F2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4250" y="1090084"/>
          <a:ext cx="5480779" cy="30848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2%20(3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6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1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11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elendezh\Downloads\Per&#250;%20Forestal%20en%20N&#250;meros%202024-PRELIMINAR%2025082025%20(1).xlsx" TargetMode="External"/><Relationship Id="rId1" Type="http://schemas.openxmlformats.org/officeDocument/2006/relationships/externalLinkPath" Target="/Users/lmelendezh/Downloads/Per&#250;%20Forestal%20en%20N&#250;meros%202024-PRELIMINAR%2025082025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atos\DANIEL-COMPARTIDOS\PERU%20FOREST%202003\ANUARIOS\PERU%20FORESTAL%202001\EXPORTACIONES%20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FICO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DERA.LAMINADA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elendezh\Desktop\Lena%20Melendez%20Huerta\CSS\ANUARIO%20FORESTAL\30-01-2025-Anuario%20FFS_2024.xlsx" TargetMode="External"/><Relationship Id="rId1" Type="http://schemas.openxmlformats.org/officeDocument/2006/relationships/externalLinkPath" Target="/Users/lmelendezh/Desktop/Lena%20Melendez%20Huerta/CSS/ANUARIO%20FORESTAL/30-01-2025-Anuario%20FFS_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ocumentos\BASE%20COMERCIO%20EXTERIOR\COMERCIO%20EXTERIOR%20C.E\COMERCIO%20EXTERIOR%202024\COMERCIO%20EXTERIOR%2002-2025\COMERCIO%20EXTERIOR%20-ENE-DIC-2024-V2.xlsx" TargetMode="External"/><Relationship Id="rId1" Type="http://schemas.openxmlformats.org/officeDocument/2006/relationships/externalLinkPath" Target="file:///S:\Documentos\BASE%20COMERCIO%20EXTERIOR\COMERCIO%20EXTERIOR%20C.E\COMERCIO%20EXTERIOR%202024\COMERCIO%20EXTERIOR%2002-2025\COMERCIO%20EXTERIOR%20-ENE-DIC-2024-V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os\BASE%20COMERCIO%20EXTERIOR\COMERCIO%20EXTERIOR%20C.E\COMERCIO%20EXTERIOR%202023\COMERCIO%20EXTERIOR%202023_ANUARIO_PUBLICACION-act-11-02-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elendezh\Downloads\BALANZA%20COMERCIAL%202024.xlsx" TargetMode="External"/><Relationship Id="rId1" Type="http://schemas.openxmlformats.org/officeDocument/2006/relationships/externalLinkPath" Target="/Users/lmelendezh/Downloads/BALANZA%20COMERCIAL%20202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1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QUIDEA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PORTACION%20MAD.CI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 (3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6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ENTACIÓN"/>
      <sheetName val="PRODUCC MAD ROLLIZA"/>
      <sheetName val="PROD MAD ROLLIZA X ESPECIE"/>
      <sheetName val="PRODUCC MAD ASERR"/>
      <sheetName val="PROD. MAD ASER.POR ESPECIE"/>
      <sheetName val="GRAFICO"/>
      <sheetName val="PARQUET X SP"/>
      <sheetName val="MADERA.LAMINADA"/>
      <sheetName val="DURMIENTES"/>
      <sheetName val="CARBON"/>
      <sheetName val="LEÑA (2)"/>
      <sheetName val="PROD NO MADERABLES"/>
      <sheetName val="POR ESPECIE-NO MAD"/>
    </sheetNames>
    <sheetDataSet>
      <sheetData sheetId="0" refreshError="1"/>
      <sheetData sheetId="1">
        <row r="12">
          <cell r="G12" t="str">
            <v>UCAYALI</v>
          </cell>
          <cell r="H12">
            <v>750417.15599999635</v>
          </cell>
        </row>
        <row r="13">
          <cell r="G13" t="str">
            <v>LORETO</v>
          </cell>
          <cell r="H13">
            <v>445370.03850000008</v>
          </cell>
        </row>
        <row r="14">
          <cell r="G14" t="str">
            <v>MADRE DE DIOS</v>
          </cell>
          <cell r="H14">
            <v>168385.91299999991</v>
          </cell>
        </row>
        <row r="15">
          <cell r="G15" t="str">
            <v>JUNIN</v>
          </cell>
          <cell r="H15">
            <v>121088.89099999961</v>
          </cell>
        </row>
        <row r="16">
          <cell r="G16" t="str">
            <v>HUANUCO</v>
          </cell>
          <cell r="H16">
            <v>69293.147000000012</v>
          </cell>
        </row>
        <row r="17">
          <cell r="G17" t="str">
            <v>PASCO</v>
          </cell>
          <cell r="H17">
            <v>30857.302000000058</v>
          </cell>
        </row>
        <row r="18">
          <cell r="G18" t="str">
            <v>SAN MARTIN</v>
          </cell>
          <cell r="H18">
            <v>16823.013000000014</v>
          </cell>
        </row>
        <row r="19">
          <cell r="G19" t="str">
            <v>LA LIBERTAD</v>
          </cell>
          <cell r="H19">
            <v>320.08999999999997</v>
          </cell>
        </row>
        <row r="20">
          <cell r="G20" t="str">
            <v>CAJAMARCA</v>
          </cell>
          <cell r="H20">
            <v>238.26000000000002</v>
          </cell>
        </row>
        <row r="21">
          <cell r="G21" t="str">
            <v>CUSCO</v>
          </cell>
          <cell r="H21">
            <v>48.629999999999995</v>
          </cell>
        </row>
        <row r="22">
          <cell r="G22" t="str">
            <v>AMAZONAS</v>
          </cell>
          <cell r="H22">
            <v>24.024000000000001</v>
          </cell>
        </row>
        <row r="23">
          <cell r="G23" t="str">
            <v>AREQUIPA</v>
          </cell>
          <cell r="H23">
            <v>1.4670000000000001</v>
          </cell>
        </row>
      </sheetData>
      <sheetData sheetId="2" refreshError="1"/>
      <sheetData sheetId="3">
        <row r="15">
          <cell r="E15" t="str">
            <v>MADRE DE DIOS</v>
          </cell>
          <cell r="F15">
            <v>234554.2840502797</v>
          </cell>
        </row>
        <row r="16">
          <cell r="E16" t="str">
            <v>UCAYALI</v>
          </cell>
          <cell r="F16">
            <v>230185.5325849033</v>
          </cell>
        </row>
        <row r="17">
          <cell r="E17" t="str">
            <v>LORETO</v>
          </cell>
          <cell r="F17">
            <v>126525.19843269496</v>
          </cell>
        </row>
        <row r="18">
          <cell r="E18" t="str">
            <v>JUNIN</v>
          </cell>
          <cell r="F18">
            <v>66452.666000053883</v>
          </cell>
        </row>
        <row r="19">
          <cell r="E19" t="str">
            <v>HUANUCO</v>
          </cell>
          <cell r="F19">
            <v>58146.610574633611</v>
          </cell>
        </row>
        <row r="20">
          <cell r="E20" t="str">
            <v>PASCO</v>
          </cell>
          <cell r="F20">
            <v>23135.457056048243</v>
          </cell>
        </row>
        <row r="21">
          <cell r="E21" t="str">
            <v>SAN MARTIN</v>
          </cell>
          <cell r="F21">
            <v>22452.106867924555</v>
          </cell>
        </row>
        <row r="22">
          <cell r="E22" t="str">
            <v>AMAZONAS</v>
          </cell>
          <cell r="F22">
            <v>7679.0029999999979</v>
          </cell>
        </row>
        <row r="23">
          <cell r="E23" t="str">
            <v>CUSCO</v>
          </cell>
          <cell r="F23">
            <v>1137.1784999999998</v>
          </cell>
        </row>
        <row r="24">
          <cell r="E24" t="str">
            <v>AYACUCHO</v>
          </cell>
          <cell r="F24">
            <v>628.68689999999992</v>
          </cell>
        </row>
        <row r="25">
          <cell r="E25" t="str">
            <v>AREQUIPA</v>
          </cell>
          <cell r="F25">
            <v>197.2766</v>
          </cell>
        </row>
        <row r="26">
          <cell r="E26" t="str">
            <v>CAJAMARCA</v>
          </cell>
          <cell r="F26">
            <v>196.12816981132076</v>
          </cell>
        </row>
      </sheetData>
      <sheetData sheetId="4" refreshError="1"/>
      <sheetData sheetId="5" refreshError="1"/>
      <sheetData sheetId="6">
        <row r="64">
          <cell r="E64" t="str">
            <v>SHIHUAHUACO</v>
          </cell>
          <cell r="F64">
            <v>11354.771490978457</v>
          </cell>
        </row>
        <row r="65">
          <cell r="E65" t="str">
            <v>ESTORAQUE</v>
          </cell>
          <cell r="F65">
            <v>879.83464905660378</v>
          </cell>
        </row>
        <row r="66">
          <cell r="E66" t="str">
            <v>ANA CASPI</v>
          </cell>
          <cell r="F66">
            <v>666.68527830188668</v>
          </cell>
        </row>
        <row r="67">
          <cell r="E67" t="str">
            <v>TAHUARI</v>
          </cell>
          <cell r="F67">
            <v>572.69099056603761</v>
          </cell>
        </row>
        <row r="68">
          <cell r="E68" t="str">
            <v>MASHONASTE</v>
          </cell>
          <cell r="F68">
            <v>487.81370440251573</v>
          </cell>
        </row>
        <row r="69">
          <cell r="E69" t="str">
            <v>CACHIMBO</v>
          </cell>
          <cell r="F69">
            <v>362.42277830188686</v>
          </cell>
        </row>
        <row r="70">
          <cell r="E70" t="str">
            <v>QUINILLA</v>
          </cell>
          <cell r="F70">
            <v>340.08357405660377</v>
          </cell>
        </row>
        <row r="71">
          <cell r="E71" t="str">
            <v>AZUCAR HUAYO</v>
          </cell>
          <cell r="F71">
            <v>255.10964150943397</v>
          </cell>
        </row>
        <row r="72">
          <cell r="E72" t="str">
            <v>HUAYRURO</v>
          </cell>
          <cell r="F72">
            <v>213.09445849056607</v>
          </cell>
        </row>
        <row r="73">
          <cell r="E73" t="str">
            <v>YACUSHAPANA</v>
          </cell>
          <cell r="F73">
            <v>166.18466037735851</v>
          </cell>
        </row>
        <row r="74">
          <cell r="E74" t="str">
            <v>CAPIRONA</v>
          </cell>
          <cell r="F74">
            <v>163.95756132075471</v>
          </cell>
        </row>
        <row r="75">
          <cell r="E75" t="str">
            <v>QUINA QUINA</v>
          </cell>
          <cell r="F75">
            <v>92.450575471698102</v>
          </cell>
        </row>
        <row r="76">
          <cell r="E76" t="str">
            <v>AGUANO MASHA</v>
          </cell>
          <cell r="F76">
            <v>57.225000000000001</v>
          </cell>
        </row>
        <row r="77">
          <cell r="E77" t="str">
            <v>PUMAQUIRO</v>
          </cell>
          <cell r="F77">
            <v>57.117000000000004</v>
          </cell>
        </row>
        <row r="78">
          <cell r="E78" t="str">
            <v>PALISANGRE</v>
          </cell>
          <cell r="F78">
            <v>52.635306603773593</v>
          </cell>
        </row>
        <row r="79">
          <cell r="E79" t="str">
            <v>Otros</v>
          </cell>
          <cell r="F79">
            <v>109.12996226415096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. NO MAD."/>
      <sheetName val="RES.NOMAD"/>
      <sheetName val="EXPORT. MAD."/>
      <sheetName val="RESUMEN MAD"/>
    </sheetNames>
    <sheetDataSet>
      <sheetData sheetId="0"/>
      <sheetData sheetId="1"/>
      <sheetData sheetId="2">
        <row r="5">
          <cell r="A5">
            <v>4402000000</v>
          </cell>
          <cell r="B5" t="str">
            <v>carbón vegetal (comprendido el d'cascaras o huesos (carozos)</v>
          </cell>
          <cell r="C5" t="str">
            <v>ESTADOS UNIDOS</v>
          </cell>
          <cell r="D5">
            <v>10.24</v>
          </cell>
          <cell r="E5">
            <v>15</v>
          </cell>
        </row>
        <row r="7">
          <cell r="A7">
            <v>4407109000</v>
          </cell>
          <cell r="B7" t="str">
            <v>Demás madera aserrada o desbastada longitudinalmente de coníferas</v>
          </cell>
          <cell r="C7" t="str">
            <v>CANADA</v>
          </cell>
          <cell r="D7">
            <v>26460</v>
          </cell>
          <cell r="E7">
            <v>25499.9</v>
          </cell>
        </row>
        <row r="8">
          <cell r="B8" t="str">
            <v>de espesor &gt;6MM.</v>
          </cell>
          <cell r="C8" t="str">
            <v>CHINA</v>
          </cell>
          <cell r="D8">
            <v>165470</v>
          </cell>
          <cell r="E8">
            <v>60661.8</v>
          </cell>
        </row>
        <row r="9">
          <cell r="C9" t="str">
            <v>HONG KONG</v>
          </cell>
          <cell r="D9">
            <v>1155145</v>
          </cell>
          <cell r="E9">
            <v>344807.53</v>
          </cell>
        </row>
        <row r="10">
          <cell r="C10" t="str">
            <v>ITALIA</v>
          </cell>
          <cell r="D10">
            <v>11560</v>
          </cell>
          <cell r="E10">
            <v>4175.16</v>
          </cell>
        </row>
        <row r="11">
          <cell r="C11" t="str">
            <v>TAIWAN (FORMOSA)</v>
          </cell>
          <cell r="D11">
            <v>45310</v>
          </cell>
          <cell r="E11">
            <v>10025.94</v>
          </cell>
        </row>
        <row r="12">
          <cell r="C12" t="str">
            <v>ESTADOS UNIDOS</v>
          </cell>
          <cell r="D12">
            <v>65050</v>
          </cell>
          <cell r="E12">
            <v>26531.4</v>
          </cell>
        </row>
        <row r="13">
          <cell r="A13">
            <v>4407240000</v>
          </cell>
          <cell r="B13" t="str">
            <v>Madera aserrada de virola, mahogany (swietenia spp.), imbuia y balsa</v>
          </cell>
          <cell r="C13" t="str">
            <v>AUSTRALIA</v>
          </cell>
          <cell r="D13">
            <v>35180</v>
          </cell>
          <cell r="E13">
            <v>59651.8</v>
          </cell>
        </row>
        <row r="14">
          <cell r="C14" t="str">
            <v>BARBADOS</v>
          </cell>
          <cell r="D14">
            <v>16076.85</v>
          </cell>
          <cell r="E14">
            <v>32198</v>
          </cell>
        </row>
        <row r="15">
          <cell r="C15" t="str">
            <v>BOLIVIA</v>
          </cell>
          <cell r="D15">
            <v>56000</v>
          </cell>
          <cell r="E15">
            <v>50500</v>
          </cell>
        </row>
        <row r="16">
          <cell r="C16" t="str">
            <v>CHILE</v>
          </cell>
          <cell r="D16">
            <v>13250</v>
          </cell>
          <cell r="E16">
            <v>7049</v>
          </cell>
        </row>
        <row r="17">
          <cell r="C17" t="str">
            <v>CHINA</v>
          </cell>
          <cell r="D17">
            <v>9500</v>
          </cell>
          <cell r="E17">
            <v>2758.5</v>
          </cell>
        </row>
        <row r="18">
          <cell r="C18" t="str">
            <v>COLOMBIA</v>
          </cell>
          <cell r="D18">
            <v>42930</v>
          </cell>
          <cell r="E18">
            <v>22360</v>
          </cell>
        </row>
        <row r="19">
          <cell r="C19" t="str">
            <v>ALEMANIA</v>
          </cell>
          <cell r="D19">
            <v>19908.46</v>
          </cell>
          <cell r="E19">
            <v>28217.06</v>
          </cell>
        </row>
        <row r="20">
          <cell r="C20" t="str">
            <v>DINAMARCA</v>
          </cell>
          <cell r="D20">
            <v>22110</v>
          </cell>
          <cell r="E20">
            <v>21718.54</v>
          </cell>
        </row>
        <row r="21">
          <cell r="C21" t="str">
            <v>REPUBLICA DOMINICANA</v>
          </cell>
          <cell r="D21">
            <v>2573142.31</v>
          </cell>
          <cell r="E21">
            <v>1936641.81</v>
          </cell>
        </row>
        <row r="22">
          <cell r="C22" t="str">
            <v>ESPAYA</v>
          </cell>
          <cell r="D22">
            <v>100206.66</v>
          </cell>
          <cell r="E22">
            <v>77452.38</v>
          </cell>
        </row>
        <row r="23">
          <cell r="C23" t="str">
            <v>REINO UNIDO</v>
          </cell>
          <cell r="D23">
            <v>126595</v>
          </cell>
          <cell r="E23">
            <v>234813.27</v>
          </cell>
        </row>
        <row r="24">
          <cell r="C24" t="str">
            <v>IRLANDA (EIRE)</v>
          </cell>
          <cell r="D24">
            <v>13440</v>
          </cell>
          <cell r="E24">
            <v>19599.07</v>
          </cell>
        </row>
        <row r="25">
          <cell r="C25" t="str">
            <v>JAPON</v>
          </cell>
          <cell r="D25">
            <v>15940.8</v>
          </cell>
          <cell r="E25">
            <v>18914.849999999999</v>
          </cell>
        </row>
        <row r="26">
          <cell r="C26" t="str">
            <v>MEXICO</v>
          </cell>
          <cell r="D26">
            <v>12656616.23</v>
          </cell>
          <cell r="E26">
            <v>6731643.71</v>
          </cell>
        </row>
        <row r="27">
          <cell r="C27" t="str">
            <v>PUERTO RICO</v>
          </cell>
          <cell r="D27">
            <v>272133.5</v>
          </cell>
          <cell r="E27">
            <v>472068.04</v>
          </cell>
        </row>
        <row r="28">
          <cell r="C28" t="str">
            <v>SUECIA</v>
          </cell>
          <cell r="D28">
            <v>112773.49</v>
          </cell>
          <cell r="E28">
            <v>195539.38</v>
          </cell>
        </row>
        <row r="29">
          <cell r="C29" t="str">
            <v>TAIWAN (FORMOSA)</v>
          </cell>
          <cell r="D29">
            <v>25330</v>
          </cell>
          <cell r="E29">
            <v>26607.59</v>
          </cell>
        </row>
        <row r="30">
          <cell r="C30" t="str">
            <v>ESTADOS UNIDOS</v>
          </cell>
          <cell r="D30">
            <v>25379939.5</v>
          </cell>
          <cell r="E30">
            <v>32102763.199999999</v>
          </cell>
        </row>
        <row r="31">
          <cell r="A31">
            <v>4407290000</v>
          </cell>
          <cell r="B31" t="str">
            <v>Maderas aserradas de las maderas tropicales de la nota de subp. 1</v>
          </cell>
          <cell r="C31" t="str">
            <v>ARUBA</v>
          </cell>
          <cell r="D31">
            <v>48460</v>
          </cell>
          <cell r="E31">
            <v>56240.480000000003</v>
          </cell>
        </row>
        <row r="32">
          <cell r="B32" t="str">
            <v>de este capitulo</v>
          </cell>
          <cell r="C32" t="str">
            <v>BARBADOS</v>
          </cell>
          <cell r="D32">
            <v>28343.15</v>
          </cell>
          <cell r="E32">
            <v>32359.97</v>
          </cell>
        </row>
        <row r="33">
          <cell r="C33" t="str">
            <v>BELGICA</v>
          </cell>
          <cell r="D33">
            <v>12250</v>
          </cell>
          <cell r="E33">
            <v>6902</v>
          </cell>
        </row>
        <row r="34">
          <cell r="C34" t="str">
            <v>CHILE</v>
          </cell>
          <cell r="D34">
            <v>28000</v>
          </cell>
          <cell r="E34">
            <v>7000</v>
          </cell>
        </row>
        <row r="35">
          <cell r="C35" t="str">
            <v>CHINA</v>
          </cell>
          <cell r="D35">
            <v>23750</v>
          </cell>
          <cell r="E35">
            <v>10780</v>
          </cell>
        </row>
        <row r="36">
          <cell r="C36" t="str">
            <v>ALEMANIA</v>
          </cell>
          <cell r="D36">
            <v>6934.72</v>
          </cell>
          <cell r="E36">
            <v>6890.01</v>
          </cell>
        </row>
        <row r="37">
          <cell r="C37" t="str">
            <v>REPUBLICA DOMINICANA</v>
          </cell>
          <cell r="D37">
            <v>351494.69</v>
          </cell>
          <cell r="E37">
            <v>260776.74</v>
          </cell>
        </row>
        <row r="38">
          <cell r="C38" t="str">
            <v>ECUADOR</v>
          </cell>
          <cell r="D38">
            <v>26000</v>
          </cell>
          <cell r="E38">
            <v>13968.38</v>
          </cell>
        </row>
        <row r="39">
          <cell r="C39" t="str">
            <v>ESPAYA</v>
          </cell>
          <cell r="D39">
            <v>83623.34</v>
          </cell>
          <cell r="E39">
            <v>63144.73</v>
          </cell>
        </row>
        <row r="40">
          <cell r="C40" t="str">
            <v>HONG KONG</v>
          </cell>
          <cell r="D40">
            <v>319062.42</v>
          </cell>
          <cell r="E40">
            <v>56269.56</v>
          </cell>
        </row>
        <row r="41">
          <cell r="C41" t="str">
            <v>ITALIA</v>
          </cell>
          <cell r="D41">
            <v>69060</v>
          </cell>
          <cell r="E41">
            <v>32299.01</v>
          </cell>
        </row>
        <row r="42">
          <cell r="A42" t="str">
            <v xml:space="preserve">ELABORACIÓN  </v>
          </cell>
          <cell r="B42" t="str">
            <v>:  Instituto Nacional de Recursos Naturales - INRENA-DGFFS</v>
          </cell>
          <cell r="E42" t="str">
            <v>Continúa…</v>
          </cell>
        </row>
        <row r="43">
          <cell r="C43" t="str">
            <v>JAMAICA</v>
          </cell>
          <cell r="D43">
            <v>75480</v>
          </cell>
          <cell r="E43">
            <v>53098.99</v>
          </cell>
        </row>
        <row r="44">
          <cell r="C44" t="str">
            <v>JAPON</v>
          </cell>
          <cell r="D44">
            <v>231200</v>
          </cell>
          <cell r="E44">
            <v>102552.31</v>
          </cell>
        </row>
        <row r="45">
          <cell r="C45" t="str">
            <v>COREA (SUR), REPUBLICA DE</v>
          </cell>
          <cell r="D45">
            <v>23660</v>
          </cell>
          <cell r="E45">
            <v>10780</v>
          </cell>
        </row>
        <row r="46">
          <cell r="C46" t="str">
            <v>MEXICO</v>
          </cell>
          <cell r="D46">
            <v>4041650.73</v>
          </cell>
          <cell r="E46">
            <v>3936638.8</v>
          </cell>
        </row>
        <row r="47">
          <cell r="C47" t="str">
            <v>PUERTO RICO</v>
          </cell>
          <cell r="D47">
            <v>462685.81</v>
          </cell>
          <cell r="E47">
            <v>669800.16</v>
          </cell>
        </row>
        <row r="48">
          <cell r="C48" t="str">
            <v>SUECIA</v>
          </cell>
          <cell r="D48">
            <v>1691.82</v>
          </cell>
          <cell r="E48">
            <v>3382.1</v>
          </cell>
        </row>
        <row r="49">
          <cell r="C49" t="str">
            <v>ESTADOS UNIDOS</v>
          </cell>
          <cell r="D49">
            <v>1659503.47</v>
          </cell>
          <cell r="E49">
            <v>1484741.88</v>
          </cell>
        </row>
        <row r="50">
          <cell r="C50" t="str">
            <v>URUGUAY</v>
          </cell>
          <cell r="D50">
            <v>49160</v>
          </cell>
          <cell r="E50">
            <v>60140.68</v>
          </cell>
        </row>
        <row r="51">
          <cell r="A51">
            <v>4407990000</v>
          </cell>
          <cell r="B51" t="str">
            <v>Demás maderas aserradas o desbastada longitudinalmente</v>
          </cell>
          <cell r="C51" t="str">
            <v>AUSTRALIA</v>
          </cell>
          <cell r="D51">
            <v>190496.94</v>
          </cell>
          <cell r="E51">
            <v>66974.47</v>
          </cell>
        </row>
        <row r="52">
          <cell r="B52" t="str">
            <v>cortada o desenrrollada</v>
          </cell>
          <cell r="C52" t="str">
            <v>BELGICA</v>
          </cell>
          <cell r="D52">
            <v>304</v>
          </cell>
          <cell r="E52">
            <v>781.25</v>
          </cell>
        </row>
        <row r="53">
          <cell r="C53" t="str">
            <v>CHILE</v>
          </cell>
          <cell r="D53">
            <v>156211</v>
          </cell>
          <cell r="E53">
            <v>43358.5</v>
          </cell>
        </row>
        <row r="54">
          <cell r="C54" t="str">
            <v>CHINA</v>
          </cell>
          <cell r="D54">
            <v>17090</v>
          </cell>
          <cell r="E54">
            <v>8374.91</v>
          </cell>
        </row>
        <row r="55">
          <cell r="C55" t="str">
            <v>ESPAYA</v>
          </cell>
          <cell r="D55">
            <v>25000</v>
          </cell>
          <cell r="E55">
            <v>10410</v>
          </cell>
        </row>
        <row r="56">
          <cell r="C56" t="str">
            <v>ITALIA</v>
          </cell>
          <cell r="D56">
            <v>26450</v>
          </cell>
          <cell r="E56">
            <v>29898.66</v>
          </cell>
        </row>
        <row r="57">
          <cell r="C57" t="str">
            <v>JAPON</v>
          </cell>
          <cell r="D57">
            <v>13724.15</v>
          </cell>
          <cell r="E57">
            <v>17254.04</v>
          </cell>
        </row>
        <row r="58">
          <cell r="C58" t="str">
            <v>COREA (SUR), REPUBLICA DE</v>
          </cell>
          <cell r="D58">
            <v>20160</v>
          </cell>
          <cell r="E58">
            <v>4857.6000000000004</v>
          </cell>
        </row>
        <row r="59">
          <cell r="C59" t="str">
            <v>MEXICO</v>
          </cell>
          <cell r="D59">
            <v>2938896.24</v>
          </cell>
          <cell r="E59">
            <v>1507530.73</v>
          </cell>
        </row>
        <row r="60">
          <cell r="C60" t="str">
            <v>NUEVA ZELANDA</v>
          </cell>
          <cell r="D60">
            <v>82270</v>
          </cell>
          <cell r="E60">
            <v>35263.96</v>
          </cell>
        </row>
        <row r="61">
          <cell r="C61" t="str">
            <v>SUECIA</v>
          </cell>
          <cell r="D61">
            <v>19000</v>
          </cell>
          <cell r="E61">
            <v>2060.37</v>
          </cell>
        </row>
        <row r="62">
          <cell r="C62" t="str">
            <v>TAIWAN (FORMOSA)</v>
          </cell>
          <cell r="D62">
            <v>7900</v>
          </cell>
          <cell r="E62">
            <v>2766.24</v>
          </cell>
        </row>
        <row r="63">
          <cell r="C63" t="str">
            <v>ESTADOS UNIDOS</v>
          </cell>
          <cell r="D63">
            <v>1651432.98</v>
          </cell>
          <cell r="E63">
            <v>1038659.14</v>
          </cell>
        </row>
        <row r="64">
          <cell r="C64" t="str">
            <v>VENEZUELA</v>
          </cell>
          <cell r="D64">
            <v>49090</v>
          </cell>
          <cell r="E64">
            <v>9000</v>
          </cell>
        </row>
        <row r="65">
          <cell r="B65" t="str">
            <v/>
          </cell>
          <cell r="D65">
            <v>55700103.25999999</v>
          </cell>
          <cell r="E65">
            <v>52157153.599999987</v>
          </cell>
        </row>
        <row r="66">
          <cell r="B66" t="str">
            <v/>
          </cell>
        </row>
        <row r="67">
          <cell r="A67">
            <v>4408390000</v>
          </cell>
          <cell r="B67" t="str">
            <v>Hojas p'chapado o contrachap. d'las demás maderas tropic. citad.</v>
          </cell>
          <cell r="C67" t="str">
            <v>MEXICO</v>
          </cell>
          <cell r="D67">
            <v>399549.64</v>
          </cell>
          <cell r="E67">
            <v>457055.25</v>
          </cell>
        </row>
        <row r="68">
          <cell r="B68" t="str">
            <v>en la nota del subp 1</v>
          </cell>
          <cell r="C68" t="str">
            <v>PUERTO RICO</v>
          </cell>
          <cell r="D68">
            <v>2220.69</v>
          </cell>
          <cell r="E68">
            <v>4692.6400000000003</v>
          </cell>
        </row>
        <row r="69">
          <cell r="C69" t="str">
            <v>ESTADOS UNIDOS</v>
          </cell>
          <cell r="D69">
            <v>86.05</v>
          </cell>
          <cell r="E69">
            <v>200</v>
          </cell>
        </row>
        <row r="70">
          <cell r="A70">
            <v>4408900000</v>
          </cell>
          <cell r="B70" t="str">
            <v>Demás hojas p' chapado o contrachapado y demás maderas serradas</v>
          </cell>
          <cell r="C70" t="str">
            <v>MEXICO</v>
          </cell>
          <cell r="D70">
            <v>2052951</v>
          </cell>
          <cell r="E70">
            <v>1388399.98</v>
          </cell>
        </row>
        <row r="71">
          <cell r="B71" t="str">
            <v>long. espesor &lt;=6 MM.</v>
          </cell>
          <cell r="C71" t="str">
            <v>ESTADOS UNIDOS</v>
          </cell>
          <cell r="D71">
            <v>3588400</v>
          </cell>
          <cell r="E71">
            <v>1802976.49</v>
          </cell>
        </row>
        <row r="72">
          <cell r="B72" t="str">
            <v/>
          </cell>
          <cell r="D72">
            <v>6043207.3799999999</v>
          </cell>
          <cell r="E72">
            <v>3653324.3600000003</v>
          </cell>
        </row>
        <row r="73">
          <cell r="B73" t="str">
            <v/>
          </cell>
        </row>
        <row r="74">
          <cell r="A74">
            <v>4409101000</v>
          </cell>
          <cell r="B74" t="str">
            <v>Tablillas y frisos para parques, sin ensamblar, de coníferas</v>
          </cell>
          <cell r="C74" t="str">
            <v>CHILE</v>
          </cell>
          <cell r="D74">
            <v>3940</v>
          </cell>
          <cell r="E74">
            <v>3339.56</v>
          </cell>
        </row>
        <row r="75">
          <cell r="C75" t="str">
            <v>ALEMANIA</v>
          </cell>
          <cell r="D75">
            <v>14639</v>
          </cell>
          <cell r="E75">
            <v>14000</v>
          </cell>
        </row>
        <row r="76">
          <cell r="C76" t="str">
            <v>ECUADOR</v>
          </cell>
          <cell r="D76">
            <v>19400</v>
          </cell>
          <cell r="E76">
            <v>11593.55</v>
          </cell>
        </row>
        <row r="77">
          <cell r="C77" t="str">
            <v>ITALIA</v>
          </cell>
          <cell r="D77">
            <v>78000</v>
          </cell>
          <cell r="E77">
            <v>87362.33</v>
          </cell>
        </row>
        <row r="78">
          <cell r="C78" t="str">
            <v>JAPON</v>
          </cell>
          <cell r="D78">
            <v>16831.54</v>
          </cell>
          <cell r="E78">
            <v>26898.46</v>
          </cell>
        </row>
        <row r="79">
          <cell r="A79">
            <v>4409102000</v>
          </cell>
          <cell r="B79" t="str">
            <v>Madera moldurada, de coníferas</v>
          </cell>
          <cell r="C79" t="str">
            <v>JAPON</v>
          </cell>
          <cell r="D79">
            <v>5135.8999999999996</v>
          </cell>
          <cell r="E79">
            <v>11849.8</v>
          </cell>
        </row>
        <row r="80">
          <cell r="C80" t="str">
            <v>PANAMA</v>
          </cell>
          <cell r="D80">
            <v>2300</v>
          </cell>
          <cell r="E80">
            <v>2342.81</v>
          </cell>
        </row>
        <row r="81">
          <cell r="A81" t="str">
            <v xml:space="preserve">ELABORACIÓN  </v>
          </cell>
          <cell r="B81" t="str">
            <v>:  Instituto Nacional de Recursos Naturales - INRENA-DGFFS</v>
          </cell>
          <cell r="E81" t="str">
            <v>Continúa…</v>
          </cell>
        </row>
        <row r="82">
          <cell r="A82">
            <v>4409109000</v>
          </cell>
          <cell r="B82" t="str">
            <v>Demás maderas perfiladas longitudinalmente de coníferas</v>
          </cell>
          <cell r="C82" t="str">
            <v>ALEMANIA</v>
          </cell>
          <cell r="D82">
            <v>2598</v>
          </cell>
          <cell r="E82">
            <v>980</v>
          </cell>
        </row>
        <row r="83">
          <cell r="C83" t="str">
            <v>JAPON</v>
          </cell>
          <cell r="D83">
            <v>173.58</v>
          </cell>
          <cell r="E83">
            <v>427.8</v>
          </cell>
        </row>
        <row r="84">
          <cell r="C84" t="str">
            <v>ESTADOS UNIDOS</v>
          </cell>
          <cell r="D84">
            <v>1280</v>
          </cell>
          <cell r="E84">
            <v>1400</v>
          </cell>
        </row>
        <row r="85">
          <cell r="A85">
            <v>4409201000</v>
          </cell>
          <cell r="B85" t="str">
            <v xml:space="preserve">Tablillas y frisos para parques, sin ensamblar, </v>
          </cell>
          <cell r="C85" t="str">
            <v>CHINA</v>
          </cell>
          <cell r="D85">
            <v>2835860</v>
          </cell>
          <cell r="E85">
            <v>1435653.68</v>
          </cell>
        </row>
        <row r="86">
          <cell r="B86" t="str">
            <v>distinta de las coníferas</v>
          </cell>
          <cell r="C86" t="str">
            <v>ALEMANIA</v>
          </cell>
          <cell r="D86">
            <v>1136.83</v>
          </cell>
          <cell r="E86">
            <v>1129.5</v>
          </cell>
        </row>
        <row r="87">
          <cell r="C87" t="str">
            <v>FINLANDIA</v>
          </cell>
          <cell r="D87">
            <v>10000</v>
          </cell>
          <cell r="E87">
            <v>2000</v>
          </cell>
        </row>
        <row r="88">
          <cell r="C88" t="str">
            <v>HONG KONG</v>
          </cell>
          <cell r="D88">
            <v>5331560.53</v>
          </cell>
          <cell r="E88">
            <v>2686087.27</v>
          </cell>
        </row>
        <row r="89">
          <cell r="C89" t="str">
            <v>ITALIA</v>
          </cell>
          <cell r="D89">
            <v>161460.32</v>
          </cell>
          <cell r="E89">
            <v>93162.72</v>
          </cell>
        </row>
        <row r="90">
          <cell r="C90" t="str">
            <v>MEXICO</v>
          </cell>
          <cell r="D90">
            <v>64437.46</v>
          </cell>
          <cell r="E90">
            <v>43694.76</v>
          </cell>
        </row>
        <row r="91">
          <cell r="C91" t="str">
            <v>SUECIA</v>
          </cell>
          <cell r="D91">
            <v>3009.7</v>
          </cell>
          <cell r="E91">
            <v>4750.63</v>
          </cell>
        </row>
        <row r="92">
          <cell r="C92" t="str">
            <v>TAIWAN (FORMOSA)</v>
          </cell>
          <cell r="D92">
            <v>92450</v>
          </cell>
          <cell r="E92">
            <v>39067.279999999999</v>
          </cell>
        </row>
        <row r="93">
          <cell r="C93" t="str">
            <v>ESTADOS UNIDOS</v>
          </cell>
          <cell r="D93">
            <v>720685.36</v>
          </cell>
          <cell r="E93">
            <v>313412.92</v>
          </cell>
        </row>
        <row r="94">
          <cell r="A94">
            <v>4409202000</v>
          </cell>
          <cell r="B94" t="str">
            <v>Madera moldurada distinta de la de coníferas</v>
          </cell>
          <cell r="C94" t="str">
            <v>CHILE</v>
          </cell>
          <cell r="D94">
            <v>3880</v>
          </cell>
          <cell r="E94">
            <v>6224</v>
          </cell>
        </row>
        <row r="95">
          <cell r="C95" t="str">
            <v>ITALIA</v>
          </cell>
          <cell r="D95">
            <v>1500</v>
          </cell>
          <cell r="E95">
            <v>790.4</v>
          </cell>
        </row>
        <row r="96">
          <cell r="C96" t="str">
            <v>JAPON</v>
          </cell>
          <cell r="D96">
            <v>4532.3999999999996</v>
          </cell>
          <cell r="E96">
            <v>22027.99</v>
          </cell>
        </row>
        <row r="97">
          <cell r="C97" t="str">
            <v>ESTADOS UNIDOS</v>
          </cell>
          <cell r="D97">
            <v>197419.4</v>
          </cell>
          <cell r="E97">
            <v>159862.78</v>
          </cell>
        </row>
        <row r="98">
          <cell r="A98">
            <v>4409209000</v>
          </cell>
          <cell r="B98" t="str">
            <v>Demás maderas perfiladas longitudinalmente distinta de coníferas</v>
          </cell>
          <cell r="C98" t="str">
            <v>JAPON</v>
          </cell>
          <cell r="D98">
            <v>2622.64</v>
          </cell>
          <cell r="E98">
            <v>10329.01</v>
          </cell>
        </row>
        <row r="99">
          <cell r="C99" t="str">
            <v>SUECIA</v>
          </cell>
          <cell r="D99">
            <v>107394.03</v>
          </cell>
          <cell r="E99">
            <v>79539.87</v>
          </cell>
        </row>
        <row r="100">
          <cell r="C100" t="str">
            <v>ESTADOS UNIDOS</v>
          </cell>
          <cell r="D100">
            <v>849462.06</v>
          </cell>
          <cell r="E100">
            <v>520056.28</v>
          </cell>
        </row>
        <row r="101">
          <cell r="B101" t="str">
            <v/>
          </cell>
          <cell r="D101">
            <v>10531708.750000002</v>
          </cell>
          <cell r="E101">
            <v>5577983.4000000004</v>
          </cell>
        </row>
        <row r="102">
          <cell r="B102" t="str">
            <v/>
          </cell>
        </row>
        <row r="103">
          <cell r="A103">
            <v>4410110000</v>
          </cell>
          <cell r="B103" t="str">
            <v>Tableros llamados "waferboard", incl. los llamados "oriented stra</v>
          </cell>
          <cell r="C103" t="str">
            <v>BOLIVIA</v>
          </cell>
          <cell r="D103">
            <v>84</v>
          </cell>
          <cell r="E103">
            <v>10.4</v>
          </cell>
        </row>
        <row r="104">
          <cell r="B104" t="str">
            <v/>
          </cell>
        </row>
        <row r="105">
          <cell r="A105">
            <v>4410190000</v>
          </cell>
          <cell r="B105" t="str">
            <v>Demás tableros de partícula y tableros similares de madera</v>
          </cell>
          <cell r="C105" t="str">
            <v>MEXICO</v>
          </cell>
          <cell r="D105">
            <v>7575.93</v>
          </cell>
          <cell r="E105">
            <v>8000</v>
          </cell>
        </row>
        <row r="106">
          <cell r="A106">
            <v>4410900000</v>
          </cell>
          <cell r="B106" t="str">
            <v>Demás tableros de partículas y tableros similares de las demás materias leñosas</v>
          </cell>
          <cell r="C106" t="str">
            <v>JAPON</v>
          </cell>
          <cell r="D106">
            <v>4540.8599999999997</v>
          </cell>
          <cell r="E106">
            <v>18126.71</v>
          </cell>
        </row>
        <row r="107">
          <cell r="D107">
            <v>12116.79</v>
          </cell>
          <cell r="E107">
            <v>26126.71</v>
          </cell>
        </row>
        <row r="108">
          <cell r="B108" t="str">
            <v/>
          </cell>
        </row>
        <row r="109">
          <cell r="A109">
            <v>4411990000</v>
          </cell>
          <cell r="B109" t="str">
            <v>Demás tableros de fibra de madera u otras mat. leñosas,</v>
          </cell>
          <cell r="C109" t="str">
            <v>CHILE</v>
          </cell>
          <cell r="D109">
            <v>22935</v>
          </cell>
          <cell r="E109">
            <v>44642.49</v>
          </cell>
        </row>
        <row r="110">
          <cell r="B110" t="str">
            <v xml:space="preserve"> incl. aglomerados</v>
          </cell>
          <cell r="C110" t="str">
            <v>ECUADOR</v>
          </cell>
          <cell r="D110">
            <v>3943.95</v>
          </cell>
          <cell r="E110">
            <v>5473.72</v>
          </cell>
        </row>
        <row r="111">
          <cell r="C111" t="str">
            <v>JAPON</v>
          </cell>
          <cell r="D111">
            <v>54.81</v>
          </cell>
          <cell r="E111">
            <v>767</v>
          </cell>
        </row>
        <row r="112">
          <cell r="C112" t="str">
            <v>MEXICO</v>
          </cell>
          <cell r="D112">
            <v>0.88</v>
          </cell>
          <cell r="E112">
            <v>7.08</v>
          </cell>
        </row>
        <row r="113">
          <cell r="C113" t="str">
            <v>ESTADOS UNIDOS</v>
          </cell>
          <cell r="D113">
            <v>610.75</v>
          </cell>
          <cell r="E113">
            <v>3750</v>
          </cell>
        </row>
        <row r="114">
          <cell r="B114" t="str">
            <v/>
          </cell>
          <cell r="D114">
            <v>27545.390000000003</v>
          </cell>
          <cell r="E114">
            <v>54640.29</v>
          </cell>
        </row>
        <row r="115">
          <cell r="B115" t="str">
            <v/>
          </cell>
        </row>
        <row r="116">
          <cell r="A116">
            <v>4412130000</v>
          </cell>
          <cell r="B116" t="str">
            <v xml:space="preserve">Madera contrachapada q'tenga por lo menos una hoja </v>
          </cell>
          <cell r="C116" t="str">
            <v>MEXICO</v>
          </cell>
          <cell r="D116">
            <v>1161959.7</v>
          </cell>
          <cell r="E116">
            <v>1712351.83</v>
          </cell>
        </row>
        <row r="117">
          <cell r="B117" t="str">
            <v>externa de maderas  tropicales</v>
          </cell>
        </row>
        <row r="118">
          <cell r="A118">
            <v>4412140000</v>
          </cell>
          <cell r="B118" t="str">
            <v xml:space="preserve">Demás maderas contrachap. q'tengan por lo menos,una hoja </v>
          </cell>
          <cell r="C118" t="str">
            <v>BOLIVIA</v>
          </cell>
          <cell r="D118">
            <v>7500</v>
          </cell>
          <cell r="E118">
            <v>4725.95</v>
          </cell>
        </row>
        <row r="119">
          <cell r="B119" t="str">
            <v>externa distinta de conífera</v>
          </cell>
          <cell r="C119" t="str">
            <v>CHILE</v>
          </cell>
          <cell r="D119">
            <v>25500</v>
          </cell>
          <cell r="E119">
            <v>17146.439999999999</v>
          </cell>
        </row>
        <row r="120">
          <cell r="A120" t="str">
            <v xml:space="preserve">ELABORACIÓN  </v>
          </cell>
          <cell r="B120" t="str">
            <v>:  Instituto Nacional de Recursos Naturales - INRENA-DGFFS</v>
          </cell>
          <cell r="E120" t="str">
            <v>Continúa…</v>
          </cell>
        </row>
        <row r="121">
          <cell r="C121" t="str">
            <v>COLOMBIA</v>
          </cell>
          <cell r="D121">
            <v>123930</v>
          </cell>
          <cell r="E121">
            <v>78360.75</v>
          </cell>
        </row>
        <row r="122">
          <cell r="C122" t="str">
            <v>COSTA RICA</v>
          </cell>
          <cell r="D122">
            <v>146600</v>
          </cell>
          <cell r="E122">
            <v>105869.54</v>
          </cell>
        </row>
        <row r="123">
          <cell r="C123" t="str">
            <v>REPUBLICA DOMINICANA</v>
          </cell>
          <cell r="D123">
            <v>92580</v>
          </cell>
          <cell r="E123">
            <v>74765.2</v>
          </cell>
        </row>
        <row r="124">
          <cell r="C124" t="str">
            <v>ECUADOR</v>
          </cell>
          <cell r="D124">
            <v>74550</v>
          </cell>
          <cell r="E124">
            <v>56542.99</v>
          </cell>
        </row>
        <row r="125">
          <cell r="C125" t="str">
            <v>MEXICO</v>
          </cell>
          <cell r="D125">
            <v>2597032</v>
          </cell>
          <cell r="E125">
            <v>1962488.58</v>
          </cell>
        </row>
        <row r="126">
          <cell r="C126" t="str">
            <v>PANAMA</v>
          </cell>
          <cell r="D126">
            <v>92190</v>
          </cell>
          <cell r="E126">
            <v>65852.160000000003</v>
          </cell>
        </row>
        <row r="127">
          <cell r="C127" t="str">
            <v>VENEZUELA</v>
          </cell>
          <cell r="D127">
            <v>6048364</v>
          </cell>
          <cell r="E127">
            <v>3910800.14</v>
          </cell>
        </row>
        <row r="128">
          <cell r="A128">
            <v>4412190000</v>
          </cell>
          <cell r="B128" t="str">
            <v xml:space="preserve">Demás maderas contrachapadas constituida por hojas de </v>
          </cell>
          <cell r="C128" t="str">
            <v>MEXICO</v>
          </cell>
          <cell r="D128">
            <v>2070064.38</v>
          </cell>
          <cell r="E128">
            <v>1666433.32</v>
          </cell>
        </row>
        <row r="129">
          <cell r="B129" t="str">
            <v>madera de espesor unit.&lt;=6MM.</v>
          </cell>
          <cell r="C129" t="str">
            <v>PANAMA</v>
          </cell>
          <cell r="D129">
            <v>23920</v>
          </cell>
          <cell r="E129">
            <v>18752.400000000001</v>
          </cell>
        </row>
        <row r="130">
          <cell r="C130" t="str">
            <v>VENEZUELA</v>
          </cell>
          <cell r="D130">
            <v>72570</v>
          </cell>
          <cell r="E130">
            <v>50685.4</v>
          </cell>
        </row>
        <row r="131">
          <cell r="A131">
            <v>4412220000</v>
          </cell>
          <cell r="B131" t="str">
            <v>Madera chapada que tenga por lo menos una hoja de las maderas tropical</v>
          </cell>
          <cell r="C131" t="str">
            <v>MEXICO</v>
          </cell>
          <cell r="D131">
            <v>50350</v>
          </cell>
          <cell r="E131">
            <v>75939.710000000006</v>
          </cell>
        </row>
        <row r="132">
          <cell r="B132" t="str">
            <v/>
          </cell>
          <cell r="D132">
            <v>12587110.079999998</v>
          </cell>
          <cell r="E132">
            <v>9800714.410000002</v>
          </cell>
        </row>
        <row r="133">
          <cell r="B133" t="str">
            <v/>
          </cell>
        </row>
        <row r="134">
          <cell r="A134">
            <v>4412920000</v>
          </cell>
          <cell r="B134" t="str">
            <v>Mad. estratificada simil. q'conte. por lo menos una hoja d'la mad. Tropical</v>
          </cell>
          <cell r="C134" t="str">
            <v>MEXICO</v>
          </cell>
          <cell r="D134">
            <v>40309.99</v>
          </cell>
          <cell r="E134">
            <v>51441.15</v>
          </cell>
        </row>
        <row r="135">
          <cell r="A135">
            <v>4412990000</v>
          </cell>
          <cell r="B135" t="str">
            <v>Demás madera estratificada similar</v>
          </cell>
          <cell r="C135" t="str">
            <v>BOLIVIA</v>
          </cell>
          <cell r="D135">
            <v>135.28</v>
          </cell>
          <cell r="E135">
            <v>932.14</v>
          </cell>
        </row>
        <row r="136">
          <cell r="C136" t="str">
            <v>MEXICO</v>
          </cell>
          <cell r="D136">
            <v>398678</v>
          </cell>
          <cell r="E136">
            <v>581496.44999999995</v>
          </cell>
        </row>
        <row r="137">
          <cell r="C137" t="str">
            <v>ESTADOS UNIDOS</v>
          </cell>
          <cell r="D137">
            <v>413.16</v>
          </cell>
          <cell r="E137">
            <v>632</v>
          </cell>
        </row>
        <row r="138">
          <cell r="C138" t="str">
            <v>URUGUAY</v>
          </cell>
          <cell r="D138">
            <v>52030</v>
          </cell>
          <cell r="E138">
            <v>35517.15</v>
          </cell>
        </row>
        <row r="139">
          <cell r="A139">
            <v>4413000000</v>
          </cell>
          <cell r="B139" t="str">
            <v>Madera densificada en bloques, tablas, tiras o perfiles.</v>
          </cell>
          <cell r="C139" t="str">
            <v>ESTADOS UNIDOS</v>
          </cell>
          <cell r="D139">
            <v>0.25</v>
          </cell>
          <cell r="E139">
            <v>5</v>
          </cell>
        </row>
        <row r="140">
          <cell r="B140" t="str">
            <v/>
          </cell>
          <cell r="D140">
            <v>491566.68</v>
          </cell>
          <cell r="E140">
            <v>670023.89</v>
          </cell>
        </row>
        <row r="141">
          <cell r="B141" t="str">
            <v/>
          </cell>
        </row>
        <row r="142">
          <cell r="A142">
            <v>4414000000</v>
          </cell>
          <cell r="B142" t="str">
            <v>Marcos de madera para cuadros, fotografías, espejos</v>
          </cell>
          <cell r="C142" t="str">
            <v>EMIRATOS ARABES UNIDOS</v>
          </cell>
          <cell r="D142">
            <v>42.03</v>
          </cell>
          <cell r="E142">
            <v>120</v>
          </cell>
        </row>
        <row r="143">
          <cell r="B143" t="str">
            <v>u objetos similares</v>
          </cell>
          <cell r="C143" t="str">
            <v>ARGENTINA</v>
          </cell>
          <cell r="D143">
            <v>117.85</v>
          </cell>
          <cell r="E143">
            <v>167</v>
          </cell>
        </row>
        <row r="144">
          <cell r="C144" t="str">
            <v>AUSTRIA</v>
          </cell>
          <cell r="D144">
            <v>26.36</v>
          </cell>
          <cell r="E144">
            <v>198</v>
          </cell>
        </row>
        <row r="145">
          <cell r="C145" t="str">
            <v>AUSTRALIA</v>
          </cell>
          <cell r="D145">
            <v>52.49</v>
          </cell>
          <cell r="E145">
            <v>215.6</v>
          </cell>
        </row>
        <row r="146">
          <cell r="C146" t="str">
            <v>ARUBA</v>
          </cell>
          <cell r="D146">
            <v>0.59</v>
          </cell>
          <cell r="E146">
            <v>7</v>
          </cell>
        </row>
        <row r="147">
          <cell r="C147" t="str">
            <v>CANADA</v>
          </cell>
          <cell r="D147">
            <v>72.62</v>
          </cell>
          <cell r="E147">
            <v>376.7</v>
          </cell>
        </row>
        <row r="148">
          <cell r="C148" t="str">
            <v>CHILE</v>
          </cell>
          <cell r="D148">
            <v>67.2</v>
          </cell>
          <cell r="E148">
            <v>196.8</v>
          </cell>
        </row>
        <row r="149">
          <cell r="C149" t="str">
            <v>COSTA RICA</v>
          </cell>
          <cell r="D149">
            <v>24.77</v>
          </cell>
          <cell r="E149">
            <v>86</v>
          </cell>
        </row>
        <row r="150">
          <cell r="C150" t="str">
            <v>SUIZA</v>
          </cell>
          <cell r="D150">
            <v>6.81</v>
          </cell>
          <cell r="E150">
            <v>112</v>
          </cell>
        </row>
        <row r="151">
          <cell r="C151" t="str">
            <v>ALEMANIA</v>
          </cell>
          <cell r="D151">
            <v>138.68</v>
          </cell>
          <cell r="E151">
            <v>1969.95</v>
          </cell>
        </row>
        <row r="152">
          <cell r="C152" t="str">
            <v>REPUBLICA DOMINICANA</v>
          </cell>
          <cell r="D152">
            <v>243.04</v>
          </cell>
          <cell r="E152">
            <v>834</v>
          </cell>
        </row>
        <row r="153">
          <cell r="C153" t="str">
            <v>ECUADOR</v>
          </cell>
          <cell r="D153">
            <v>258.33999999999997</v>
          </cell>
          <cell r="E153">
            <v>4158.96</v>
          </cell>
        </row>
        <row r="154">
          <cell r="C154" t="str">
            <v>ESPAYA</v>
          </cell>
          <cell r="D154">
            <v>1897.07</v>
          </cell>
          <cell r="E154">
            <v>8404.64</v>
          </cell>
        </row>
        <row r="155">
          <cell r="C155" t="str">
            <v>FRANCIA</v>
          </cell>
          <cell r="D155">
            <v>128.31</v>
          </cell>
          <cell r="E155">
            <v>288.3</v>
          </cell>
        </row>
        <row r="156">
          <cell r="C156" t="str">
            <v>REINO UNIDO</v>
          </cell>
          <cell r="D156">
            <v>25.21</v>
          </cell>
          <cell r="E156">
            <v>136.19999999999999</v>
          </cell>
        </row>
        <row r="157">
          <cell r="C157" t="str">
            <v>GUAYANA FRANCESA</v>
          </cell>
          <cell r="D157">
            <v>6.24</v>
          </cell>
          <cell r="E157">
            <v>107.52</v>
          </cell>
        </row>
        <row r="158">
          <cell r="A158" t="str">
            <v xml:space="preserve">ELABORACIÓN  </v>
          </cell>
          <cell r="B158" t="str">
            <v>:  Instituto Nacional de Recursos Naturales - INRENA-DGFFS</v>
          </cell>
          <cell r="E158" t="str">
            <v>Continúa…</v>
          </cell>
        </row>
        <row r="159">
          <cell r="C159" t="str">
            <v>GUATEMALA</v>
          </cell>
          <cell r="D159">
            <v>144.37</v>
          </cell>
          <cell r="E159">
            <v>672.99</v>
          </cell>
        </row>
        <row r="160">
          <cell r="C160" t="str">
            <v>ITALIA</v>
          </cell>
          <cell r="D160">
            <v>1461.13</v>
          </cell>
          <cell r="E160">
            <v>10459.82</v>
          </cell>
        </row>
        <row r="161">
          <cell r="C161" t="str">
            <v>JAPON</v>
          </cell>
          <cell r="D161">
            <v>24.47</v>
          </cell>
          <cell r="E161">
            <v>60</v>
          </cell>
        </row>
        <row r="162">
          <cell r="C162" t="str">
            <v>MEXICO</v>
          </cell>
          <cell r="D162">
            <v>3242.01</v>
          </cell>
          <cell r="E162">
            <v>9528.8700000000008</v>
          </cell>
        </row>
        <row r="163">
          <cell r="C163" t="str">
            <v>PANAMA</v>
          </cell>
          <cell r="D163">
            <v>1196.44</v>
          </cell>
          <cell r="E163">
            <v>4302.3999999999996</v>
          </cell>
        </row>
        <row r="164">
          <cell r="C164" t="str">
            <v>PUERTO RICO</v>
          </cell>
          <cell r="D164">
            <v>505.08</v>
          </cell>
          <cell r="E164">
            <v>1346.77</v>
          </cell>
        </row>
        <row r="165">
          <cell r="C165" t="str">
            <v>SUECIA</v>
          </cell>
          <cell r="D165">
            <v>147.66</v>
          </cell>
          <cell r="E165">
            <v>2892.86</v>
          </cell>
        </row>
        <row r="166">
          <cell r="C166" t="str">
            <v>ESTADOS UNIDOS</v>
          </cell>
          <cell r="D166">
            <v>36104.29</v>
          </cell>
          <cell r="E166">
            <v>336448.71</v>
          </cell>
        </row>
        <row r="167">
          <cell r="C167" t="str">
            <v>VENEZUELA</v>
          </cell>
          <cell r="D167">
            <v>180.24</v>
          </cell>
          <cell r="E167">
            <v>510.75</v>
          </cell>
        </row>
        <row r="168">
          <cell r="A168">
            <v>4415100000</v>
          </cell>
          <cell r="B168" t="str">
            <v>Cajones, cajas, jaulas, tambores y envases simil.</v>
          </cell>
          <cell r="C168" t="str">
            <v>ARGENTINA</v>
          </cell>
          <cell r="D168">
            <v>1705.38</v>
          </cell>
          <cell r="E168">
            <v>130.80000000000001</v>
          </cell>
        </row>
        <row r="169">
          <cell r="B169" t="str">
            <v>carretes para cables de madera.</v>
          </cell>
          <cell r="C169" t="str">
            <v>CANADA</v>
          </cell>
          <cell r="D169">
            <v>0.98</v>
          </cell>
          <cell r="E169">
            <v>132</v>
          </cell>
        </row>
        <row r="170">
          <cell r="C170" t="str">
            <v>SUIZA</v>
          </cell>
          <cell r="D170">
            <v>0.61</v>
          </cell>
          <cell r="E170">
            <v>10</v>
          </cell>
        </row>
        <row r="171">
          <cell r="C171" t="str">
            <v>ALEMANIA</v>
          </cell>
          <cell r="D171">
            <v>6.86</v>
          </cell>
          <cell r="E171">
            <v>210</v>
          </cell>
        </row>
        <row r="172">
          <cell r="C172" t="str">
            <v>ESPAYA</v>
          </cell>
          <cell r="D172">
            <v>0.6</v>
          </cell>
          <cell r="E172">
            <v>6.09</v>
          </cell>
        </row>
        <row r="173">
          <cell r="C173" t="str">
            <v>REINO UNIDO</v>
          </cell>
          <cell r="D173">
            <v>67.14</v>
          </cell>
          <cell r="E173">
            <v>1505</v>
          </cell>
        </row>
        <row r="174">
          <cell r="C174" t="str">
            <v>ITALIA</v>
          </cell>
          <cell r="D174">
            <v>4.91</v>
          </cell>
          <cell r="E174">
            <v>112.5</v>
          </cell>
        </row>
        <row r="175">
          <cell r="C175" t="str">
            <v>JAPON</v>
          </cell>
          <cell r="D175">
            <v>273.95999999999998</v>
          </cell>
          <cell r="E175">
            <v>3251.9</v>
          </cell>
        </row>
        <row r="176">
          <cell r="C176" t="str">
            <v>COREA (SUR), REPUBLICA DE</v>
          </cell>
          <cell r="D176">
            <v>0.21</v>
          </cell>
          <cell r="E176">
            <v>0.95</v>
          </cell>
        </row>
        <row r="177">
          <cell r="C177" t="str">
            <v>ESTADOS UNIDOS</v>
          </cell>
          <cell r="D177">
            <v>8491.07</v>
          </cell>
          <cell r="E177">
            <v>63507.9</v>
          </cell>
        </row>
        <row r="178">
          <cell r="A178">
            <v>4415200000</v>
          </cell>
          <cell r="B178" t="str">
            <v>Paletas, paletas caja y demás plataformas p'carga; collarines p'p</v>
          </cell>
          <cell r="C178" t="str">
            <v>ESTADOS UNIDOS</v>
          </cell>
          <cell r="D178">
            <v>812.18</v>
          </cell>
          <cell r="E178">
            <v>702</v>
          </cell>
        </row>
        <row r="179">
          <cell r="A179">
            <v>4416000000</v>
          </cell>
          <cell r="B179" t="str">
            <v xml:space="preserve">Barriles,cubas,tinas y demás manufact. d'toneleria y partes, </v>
          </cell>
          <cell r="C179" t="str">
            <v>ALEMANIA</v>
          </cell>
          <cell r="D179">
            <v>16.16</v>
          </cell>
          <cell r="E179">
            <v>254</v>
          </cell>
        </row>
        <row r="180">
          <cell r="B180" t="str">
            <v>de madera,incluido duelas.</v>
          </cell>
          <cell r="C180" t="str">
            <v>ESTADOS UNIDOS</v>
          </cell>
          <cell r="D180">
            <v>13.97</v>
          </cell>
          <cell r="E180">
            <v>50</v>
          </cell>
        </row>
        <row r="181">
          <cell r="A181">
            <v>4417001000</v>
          </cell>
          <cell r="B181" t="str">
            <v>Herramientas de madera</v>
          </cell>
          <cell r="C181" t="str">
            <v>CHILE</v>
          </cell>
          <cell r="D181">
            <v>378.04</v>
          </cell>
          <cell r="E181">
            <v>68.150000000000006</v>
          </cell>
        </row>
        <row r="182">
          <cell r="A182">
            <v>4417009000</v>
          </cell>
          <cell r="B182" t="str">
            <v>Demás mont. y mangos de herramientas, mont. y mangos de cepill</v>
          </cell>
          <cell r="C182" t="str">
            <v>ESTADOS UNIDOS</v>
          </cell>
          <cell r="D182">
            <v>0.97</v>
          </cell>
          <cell r="E182">
            <v>19.829999999999998</v>
          </cell>
        </row>
        <row r="183">
          <cell r="A183">
            <v>4418100000</v>
          </cell>
          <cell r="B183" t="str">
            <v>Ventanas, contraventanas, y sus marcos y contramarcos, de madera</v>
          </cell>
          <cell r="C183" t="str">
            <v>ESTADOS UNIDOS</v>
          </cell>
          <cell r="D183">
            <v>1243.49</v>
          </cell>
          <cell r="E183">
            <v>3405</v>
          </cell>
        </row>
        <row r="184">
          <cell r="A184">
            <v>4418200000</v>
          </cell>
          <cell r="B184" t="str">
            <v>Puertas y sus marcos, contramarcos y umbrales, de madera</v>
          </cell>
          <cell r="C184" t="str">
            <v>BELGICA</v>
          </cell>
          <cell r="D184">
            <v>468</v>
          </cell>
          <cell r="E184">
            <v>1630.9</v>
          </cell>
        </row>
        <row r="185">
          <cell r="C185" t="str">
            <v>ALEMANIA</v>
          </cell>
          <cell r="D185">
            <v>345.82</v>
          </cell>
          <cell r="E185">
            <v>670</v>
          </cell>
        </row>
        <row r="186">
          <cell r="C186" t="str">
            <v>REPUBLICA DOMINICANA</v>
          </cell>
          <cell r="D186">
            <v>46.35</v>
          </cell>
          <cell r="E186">
            <v>108</v>
          </cell>
        </row>
        <row r="187">
          <cell r="C187" t="str">
            <v>ESPAYA</v>
          </cell>
          <cell r="D187">
            <v>396.31</v>
          </cell>
          <cell r="E187">
            <v>450</v>
          </cell>
        </row>
        <row r="188">
          <cell r="C188" t="str">
            <v>ITALIA</v>
          </cell>
          <cell r="D188">
            <v>10008.65</v>
          </cell>
          <cell r="E188">
            <v>13160</v>
          </cell>
        </row>
        <row r="189">
          <cell r="C189" t="str">
            <v>JAPON</v>
          </cell>
          <cell r="D189">
            <v>8461.4</v>
          </cell>
          <cell r="E189">
            <v>47541.26</v>
          </cell>
        </row>
        <row r="190">
          <cell r="C190" t="str">
            <v>MEXICO</v>
          </cell>
          <cell r="D190">
            <v>2268.85</v>
          </cell>
          <cell r="E190">
            <v>4268</v>
          </cell>
        </row>
        <row r="191">
          <cell r="C191" t="str">
            <v>ESTADOS UNIDOS</v>
          </cell>
          <cell r="D191">
            <v>2166452.4</v>
          </cell>
          <cell r="E191">
            <v>2616932.44</v>
          </cell>
        </row>
        <row r="192">
          <cell r="A192">
            <v>4418300000</v>
          </cell>
          <cell r="B192" t="str">
            <v>Tableros para parques, de madera</v>
          </cell>
          <cell r="C192" t="str">
            <v>JAPON</v>
          </cell>
          <cell r="D192">
            <v>255.63</v>
          </cell>
          <cell r="E192">
            <v>630</v>
          </cell>
        </row>
        <row r="193">
          <cell r="C193" t="str">
            <v>MEXICO</v>
          </cell>
          <cell r="D193">
            <v>6532.26</v>
          </cell>
          <cell r="E193">
            <v>4988.8</v>
          </cell>
        </row>
        <row r="194">
          <cell r="C194" t="str">
            <v>ESTADOS UNIDOS</v>
          </cell>
          <cell r="D194">
            <v>747.56</v>
          </cell>
          <cell r="E194">
            <v>1625</v>
          </cell>
        </row>
        <row r="195">
          <cell r="A195">
            <v>4418500000</v>
          </cell>
          <cell r="B195" t="str">
            <v>Tablillas para cubierta de tejados o fachadas ("shingles" y "shak</v>
          </cell>
          <cell r="C195" t="str">
            <v>JAPON</v>
          </cell>
          <cell r="D195">
            <v>3349.36</v>
          </cell>
          <cell r="E195">
            <v>5328.99</v>
          </cell>
        </row>
        <row r="196">
          <cell r="C196" t="str">
            <v>ESTADOS UNIDOS</v>
          </cell>
          <cell r="D196">
            <v>1164</v>
          </cell>
          <cell r="E196">
            <v>1563.2</v>
          </cell>
        </row>
        <row r="197">
          <cell r="A197" t="str">
            <v xml:space="preserve">ELABORACIÓN  </v>
          </cell>
          <cell r="B197" t="str">
            <v>:  Instituto Nacional de Recursos Naturales - INRENA-DGFFS</v>
          </cell>
          <cell r="E197" t="str">
            <v>Continúa…</v>
          </cell>
        </row>
        <row r="198">
          <cell r="A198">
            <v>4418909000</v>
          </cell>
          <cell r="B198" t="str">
            <v>Demás obras y piezas de carpintería para construcciones, de madera</v>
          </cell>
          <cell r="C198" t="str">
            <v>CHILE</v>
          </cell>
          <cell r="D198">
            <v>66850</v>
          </cell>
          <cell r="E198">
            <v>43680</v>
          </cell>
        </row>
        <row r="199">
          <cell r="C199" t="str">
            <v>ALEMANIA</v>
          </cell>
          <cell r="D199">
            <v>87.43</v>
          </cell>
          <cell r="E199">
            <v>55</v>
          </cell>
        </row>
        <row r="200">
          <cell r="C200" t="str">
            <v>REINO UNIDO</v>
          </cell>
          <cell r="D200">
            <v>20.21</v>
          </cell>
          <cell r="E200">
            <v>40</v>
          </cell>
        </row>
        <row r="201">
          <cell r="C201" t="str">
            <v>ITALIA</v>
          </cell>
          <cell r="D201">
            <v>11.38</v>
          </cell>
          <cell r="E201">
            <v>28</v>
          </cell>
        </row>
        <row r="202">
          <cell r="C202" t="str">
            <v>JAPON</v>
          </cell>
          <cell r="D202">
            <v>390.96</v>
          </cell>
          <cell r="E202">
            <v>2606.65</v>
          </cell>
        </row>
        <row r="203">
          <cell r="C203" t="str">
            <v>COREA (SUR), REPUBLICA DE</v>
          </cell>
          <cell r="D203">
            <v>50870</v>
          </cell>
          <cell r="E203">
            <v>26546.95</v>
          </cell>
        </row>
        <row r="204">
          <cell r="C204" t="str">
            <v>ESTADOS UNIDOS</v>
          </cell>
          <cell r="D204">
            <v>156292.01999999999</v>
          </cell>
          <cell r="E204">
            <v>108442.6</v>
          </cell>
        </row>
        <row r="205">
          <cell r="A205">
            <v>4419000000</v>
          </cell>
          <cell r="B205" t="str">
            <v>Artículos de mesa o de cocina, de madera</v>
          </cell>
          <cell r="C205" t="str">
            <v>ARGENTINA</v>
          </cell>
          <cell r="D205">
            <v>167.67</v>
          </cell>
          <cell r="E205">
            <v>272.3</v>
          </cell>
        </row>
        <row r="206">
          <cell r="C206" t="str">
            <v>AUSTRALIA</v>
          </cell>
          <cell r="D206">
            <v>0</v>
          </cell>
          <cell r="E206">
            <v>1</v>
          </cell>
        </row>
        <row r="207">
          <cell r="C207" t="str">
            <v>ARUBA</v>
          </cell>
          <cell r="D207">
            <v>23.07</v>
          </cell>
          <cell r="E207">
            <v>92.5</v>
          </cell>
        </row>
        <row r="208">
          <cell r="C208" t="str">
            <v>BARBADOS</v>
          </cell>
          <cell r="D208">
            <v>115.78</v>
          </cell>
          <cell r="E208">
            <v>525</v>
          </cell>
        </row>
        <row r="209">
          <cell r="C209" t="str">
            <v>BRASIL</v>
          </cell>
          <cell r="D209">
            <v>16.59</v>
          </cell>
          <cell r="E209">
            <v>148</v>
          </cell>
        </row>
        <row r="210">
          <cell r="C210" t="str">
            <v>CANADA</v>
          </cell>
          <cell r="D210">
            <v>24.19</v>
          </cell>
          <cell r="E210">
            <v>266.5</v>
          </cell>
        </row>
        <row r="211">
          <cell r="C211" t="str">
            <v>CHILE</v>
          </cell>
          <cell r="D211">
            <v>249.91</v>
          </cell>
          <cell r="E211">
            <v>1902.69</v>
          </cell>
        </row>
        <row r="212">
          <cell r="C212" t="str">
            <v>COLOMBIA</v>
          </cell>
          <cell r="D212">
            <v>1153.6600000000001</v>
          </cell>
          <cell r="E212">
            <v>11718.92</v>
          </cell>
        </row>
        <row r="213">
          <cell r="C213" t="str">
            <v>ALEMANIA</v>
          </cell>
          <cell r="D213">
            <v>392.37</v>
          </cell>
          <cell r="E213">
            <v>4091.73</v>
          </cell>
        </row>
        <row r="214">
          <cell r="C214" t="str">
            <v>REPUBLICA DOMINICANA</v>
          </cell>
          <cell r="D214">
            <v>1525</v>
          </cell>
          <cell r="E214">
            <v>3180.7</v>
          </cell>
        </row>
        <row r="215">
          <cell r="C215" t="str">
            <v>ESPAYA</v>
          </cell>
          <cell r="D215">
            <v>1305.0899999999999</v>
          </cell>
          <cell r="E215">
            <v>8490.83</v>
          </cell>
        </row>
        <row r="216">
          <cell r="C216" t="str">
            <v>FRANCIA</v>
          </cell>
          <cell r="D216">
            <v>1257.02</v>
          </cell>
          <cell r="E216">
            <v>8076.55</v>
          </cell>
        </row>
        <row r="217">
          <cell r="C217" t="str">
            <v>REINO UNIDO</v>
          </cell>
          <cell r="D217">
            <v>352.33</v>
          </cell>
          <cell r="E217">
            <v>2793.25</v>
          </cell>
        </row>
        <row r="218">
          <cell r="C218" t="str">
            <v>GUAYANA FRANCESA</v>
          </cell>
          <cell r="D218">
            <v>1.72</v>
          </cell>
          <cell r="E218">
            <v>42.66</v>
          </cell>
        </row>
        <row r="219">
          <cell r="C219" t="str">
            <v>GUATEMALA</v>
          </cell>
          <cell r="D219">
            <v>73.8</v>
          </cell>
          <cell r="E219">
            <v>1190.2</v>
          </cell>
        </row>
        <row r="220">
          <cell r="C220" t="str">
            <v>HUNGRIA</v>
          </cell>
          <cell r="D220">
            <v>10.9</v>
          </cell>
          <cell r="E220">
            <v>48</v>
          </cell>
        </row>
        <row r="221">
          <cell r="C221" t="str">
            <v>ITALIA</v>
          </cell>
          <cell r="D221">
            <v>409.55</v>
          </cell>
          <cell r="E221">
            <v>2711.47</v>
          </cell>
        </row>
        <row r="222">
          <cell r="C222" t="str">
            <v>JAPON</v>
          </cell>
          <cell r="D222">
            <v>0.82</v>
          </cell>
          <cell r="E222">
            <v>2</v>
          </cell>
        </row>
        <row r="223">
          <cell r="C223" t="str">
            <v>COREA (SUR), REPUBLICA DE</v>
          </cell>
          <cell r="D223">
            <v>24.97</v>
          </cell>
          <cell r="E223">
            <v>276</v>
          </cell>
        </row>
        <row r="224">
          <cell r="C224" t="str">
            <v>MEXICO</v>
          </cell>
          <cell r="D224">
            <v>128.47</v>
          </cell>
          <cell r="E224">
            <v>455.9</v>
          </cell>
        </row>
        <row r="225">
          <cell r="C225" t="str">
            <v>PAISES BAJOS</v>
          </cell>
          <cell r="D225">
            <v>3.67</v>
          </cell>
          <cell r="E225">
            <v>55</v>
          </cell>
        </row>
        <row r="226">
          <cell r="C226" t="str">
            <v>NORUEGA</v>
          </cell>
          <cell r="D226">
            <v>0.52</v>
          </cell>
          <cell r="E226">
            <v>9.6</v>
          </cell>
        </row>
        <row r="227">
          <cell r="C227" t="str">
            <v>PANAMA</v>
          </cell>
          <cell r="D227">
            <v>343.8</v>
          </cell>
          <cell r="E227">
            <v>3345.04</v>
          </cell>
        </row>
        <row r="228">
          <cell r="C228" t="str">
            <v>FILIPINAS</v>
          </cell>
          <cell r="D228">
            <v>65.16</v>
          </cell>
          <cell r="E228">
            <v>240</v>
          </cell>
        </row>
        <row r="229">
          <cell r="C229" t="str">
            <v>PUERTO RICO</v>
          </cell>
          <cell r="D229">
            <v>212.11</v>
          </cell>
          <cell r="E229">
            <v>1402.39</v>
          </cell>
        </row>
        <row r="230">
          <cell r="C230" t="str">
            <v>ARABIA SAUDITA</v>
          </cell>
          <cell r="D230">
            <v>69.239999999999995</v>
          </cell>
          <cell r="E230">
            <v>439.95</v>
          </cell>
        </row>
        <row r="231">
          <cell r="C231" t="str">
            <v>TAIWAN (FORMOSA)</v>
          </cell>
          <cell r="D231">
            <v>77.150000000000006</v>
          </cell>
          <cell r="E231">
            <v>397.5</v>
          </cell>
        </row>
        <row r="232">
          <cell r="C232" t="str">
            <v>ESTADOS UNIDOS</v>
          </cell>
          <cell r="D232">
            <v>21423.61</v>
          </cell>
          <cell r="E232">
            <v>140644.37</v>
          </cell>
        </row>
        <row r="233">
          <cell r="C233" t="str">
            <v>URUGUAY</v>
          </cell>
          <cell r="D233">
            <v>12</v>
          </cell>
          <cell r="E233">
            <v>29.6</v>
          </cell>
        </row>
        <row r="234">
          <cell r="C234" t="str">
            <v>VENEZUELA</v>
          </cell>
          <cell r="D234">
            <v>1620.57</v>
          </cell>
          <cell r="E234">
            <v>4224</v>
          </cell>
        </row>
        <row r="235">
          <cell r="A235" t="str">
            <v xml:space="preserve">ELABORACIÓN  </v>
          </cell>
          <cell r="B235" t="str">
            <v>:  Instituto Nacional de Recursos Naturales - INRENA-DGFFS</v>
          </cell>
          <cell r="E235" t="str">
            <v>Continúa…</v>
          </cell>
        </row>
        <row r="236">
          <cell r="A236">
            <v>4420100000</v>
          </cell>
          <cell r="B236" t="str">
            <v>Estatuillas y demás objetos de adorno, de madera</v>
          </cell>
          <cell r="C236" t="str">
            <v>EMIRATOS ARABES UNIDOS</v>
          </cell>
          <cell r="D236">
            <v>6.78</v>
          </cell>
          <cell r="E236">
            <v>35</v>
          </cell>
        </row>
        <row r="237">
          <cell r="C237" t="str">
            <v>ARGENTINA</v>
          </cell>
          <cell r="D237">
            <v>237.43</v>
          </cell>
          <cell r="E237">
            <v>397.96</v>
          </cell>
        </row>
        <row r="238">
          <cell r="C238" t="str">
            <v>AUSTRALIA</v>
          </cell>
          <cell r="D238">
            <v>5.21</v>
          </cell>
          <cell r="E238">
            <v>90.25</v>
          </cell>
        </row>
        <row r="239">
          <cell r="C239" t="str">
            <v>ARUBA</v>
          </cell>
          <cell r="D239">
            <v>88.87</v>
          </cell>
          <cell r="E239">
            <v>199.7</v>
          </cell>
        </row>
        <row r="240">
          <cell r="C240" t="str">
            <v>BELGICA</v>
          </cell>
          <cell r="D240">
            <v>50.19</v>
          </cell>
          <cell r="E240">
            <v>308.10000000000002</v>
          </cell>
        </row>
        <row r="241">
          <cell r="C241" t="str">
            <v>BRASIL</v>
          </cell>
          <cell r="D241">
            <v>7.63</v>
          </cell>
          <cell r="E241">
            <v>58.5</v>
          </cell>
        </row>
        <row r="242">
          <cell r="C242" t="str">
            <v>CANADA</v>
          </cell>
          <cell r="D242">
            <v>180.4</v>
          </cell>
          <cell r="E242">
            <v>1734.95</v>
          </cell>
        </row>
        <row r="243">
          <cell r="C243" t="str">
            <v>CHILE</v>
          </cell>
          <cell r="D243">
            <v>54.1</v>
          </cell>
          <cell r="E243">
            <v>526.51</v>
          </cell>
        </row>
        <row r="244">
          <cell r="C244" t="str">
            <v>COLOMBIA</v>
          </cell>
          <cell r="D244">
            <v>11.92</v>
          </cell>
          <cell r="E244">
            <v>61.2</v>
          </cell>
        </row>
        <row r="245">
          <cell r="C245" t="str">
            <v>COSTA RICA</v>
          </cell>
          <cell r="D245">
            <v>29.99</v>
          </cell>
          <cell r="E245">
            <v>44.5</v>
          </cell>
        </row>
        <row r="246">
          <cell r="C246" t="str">
            <v>SUIZA</v>
          </cell>
          <cell r="D246">
            <v>93.28</v>
          </cell>
          <cell r="E246">
            <v>1690.8</v>
          </cell>
        </row>
        <row r="247">
          <cell r="C247" t="str">
            <v>ALEMANIA</v>
          </cell>
          <cell r="D247">
            <v>1673.69</v>
          </cell>
          <cell r="E247">
            <v>21508.23</v>
          </cell>
        </row>
        <row r="248">
          <cell r="C248" t="str">
            <v>DINAMARCA</v>
          </cell>
          <cell r="D248">
            <v>16.829999999999998</v>
          </cell>
          <cell r="E248">
            <v>37.5</v>
          </cell>
        </row>
        <row r="249">
          <cell r="C249" t="str">
            <v>REPUBLICA DOMINICANA</v>
          </cell>
          <cell r="D249">
            <v>783.81</v>
          </cell>
          <cell r="E249">
            <v>1947.27</v>
          </cell>
        </row>
        <row r="250">
          <cell r="C250" t="str">
            <v>ECUADOR</v>
          </cell>
          <cell r="D250">
            <v>146.36000000000001</v>
          </cell>
          <cell r="E250">
            <v>2713.5</v>
          </cell>
        </row>
        <row r="251">
          <cell r="C251" t="str">
            <v>ESPAYA</v>
          </cell>
          <cell r="D251">
            <v>1342.58</v>
          </cell>
          <cell r="E251">
            <v>6305.92</v>
          </cell>
        </row>
        <row r="252">
          <cell r="C252" t="str">
            <v>FRANCIA</v>
          </cell>
          <cell r="D252">
            <v>1459.73</v>
          </cell>
          <cell r="E252">
            <v>9291.5300000000007</v>
          </cell>
        </row>
        <row r="253">
          <cell r="C253" t="str">
            <v>REINO UNIDO</v>
          </cell>
          <cell r="D253">
            <v>100.36</v>
          </cell>
          <cell r="E253">
            <v>1916.82</v>
          </cell>
        </row>
        <row r="254">
          <cell r="C254" t="str">
            <v>GUAYANA FRANCESA</v>
          </cell>
          <cell r="D254">
            <v>18.61</v>
          </cell>
          <cell r="E254">
            <v>152.94999999999999</v>
          </cell>
        </row>
        <row r="255">
          <cell r="C255" t="str">
            <v>GRECIA</v>
          </cell>
          <cell r="D255">
            <v>4.04</v>
          </cell>
          <cell r="E255">
            <v>15</v>
          </cell>
        </row>
        <row r="256">
          <cell r="C256" t="str">
            <v>GUATEMALA</v>
          </cell>
          <cell r="D256">
            <v>139.15</v>
          </cell>
          <cell r="E256">
            <v>514.23</v>
          </cell>
        </row>
        <row r="257">
          <cell r="C257" t="str">
            <v>HUNGRIA</v>
          </cell>
          <cell r="D257">
            <v>49.1</v>
          </cell>
          <cell r="E257">
            <v>210.6</v>
          </cell>
        </row>
        <row r="258">
          <cell r="C258" t="str">
            <v>ISRAEL</v>
          </cell>
          <cell r="D258">
            <v>0.08</v>
          </cell>
          <cell r="E258">
            <v>1</v>
          </cell>
        </row>
        <row r="259">
          <cell r="C259" t="str">
            <v>ITALIA</v>
          </cell>
          <cell r="D259">
            <v>7183.7</v>
          </cell>
          <cell r="E259">
            <v>55161.34</v>
          </cell>
        </row>
        <row r="260">
          <cell r="C260" t="str">
            <v>JAPON</v>
          </cell>
          <cell r="D260">
            <v>201.22</v>
          </cell>
          <cell r="E260">
            <v>2078.65</v>
          </cell>
        </row>
        <row r="261">
          <cell r="C261" t="str">
            <v>COREA (SUR), REPUBLICA DE</v>
          </cell>
          <cell r="D261">
            <v>214.33</v>
          </cell>
          <cell r="E261">
            <v>3203.71</v>
          </cell>
        </row>
        <row r="262">
          <cell r="C262" t="str">
            <v>LUXEMBURGO</v>
          </cell>
          <cell r="D262">
            <v>10.65</v>
          </cell>
          <cell r="E262">
            <v>146.75</v>
          </cell>
        </row>
        <row r="263">
          <cell r="C263" t="str">
            <v>MEXICO</v>
          </cell>
          <cell r="D263">
            <v>375.62</v>
          </cell>
          <cell r="E263">
            <v>854.1</v>
          </cell>
        </row>
        <row r="264">
          <cell r="C264" t="str">
            <v>PAISES BAJOS</v>
          </cell>
          <cell r="D264">
            <v>43.73</v>
          </cell>
          <cell r="E264">
            <v>722.27</v>
          </cell>
        </row>
        <row r="265">
          <cell r="C265" t="str">
            <v>NORUEGA</v>
          </cell>
          <cell r="D265">
            <v>0.18</v>
          </cell>
          <cell r="E265">
            <v>1</v>
          </cell>
        </row>
        <row r="266">
          <cell r="C266" t="str">
            <v>PANAMA</v>
          </cell>
          <cell r="D266">
            <v>162.06</v>
          </cell>
          <cell r="E266">
            <v>1157.8399999999999</v>
          </cell>
        </row>
        <row r="267">
          <cell r="C267" t="str">
            <v>FILIPINAS</v>
          </cell>
          <cell r="D267">
            <v>0.21</v>
          </cell>
          <cell r="E267">
            <v>6.5</v>
          </cell>
        </row>
        <row r="268">
          <cell r="C268" t="str">
            <v>PUERTO RICO</v>
          </cell>
          <cell r="D268">
            <v>186.26</v>
          </cell>
          <cell r="E268">
            <v>1023.15</v>
          </cell>
        </row>
        <row r="269">
          <cell r="C269" t="str">
            <v>RUMANIA</v>
          </cell>
          <cell r="D269">
            <v>2.36</v>
          </cell>
          <cell r="E269">
            <v>9</v>
          </cell>
        </row>
        <row r="270">
          <cell r="C270" t="str">
            <v>ARABIA SAUDITA</v>
          </cell>
          <cell r="D270">
            <v>82.04</v>
          </cell>
          <cell r="E270">
            <v>452.4</v>
          </cell>
        </row>
        <row r="271">
          <cell r="C271" t="str">
            <v>SUECIA</v>
          </cell>
          <cell r="D271">
            <v>20.53</v>
          </cell>
          <cell r="E271">
            <v>35.799999999999997</v>
          </cell>
        </row>
        <row r="272">
          <cell r="C272" t="str">
            <v>TAIWAN (FORMOSA)</v>
          </cell>
          <cell r="D272">
            <v>72.2</v>
          </cell>
          <cell r="E272">
            <v>372</v>
          </cell>
        </row>
        <row r="273">
          <cell r="A273" t="str">
            <v xml:space="preserve">ELABORACIÓN  </v>
          </cell>
          <cell r="B273" t="str">
            <v>:  Instituto Nacional de Recursos Naturales - INRENA-DGFFS</v>
          </cell>
          <cell r="E273" t="str">
            <v>Continúa…</v>
          </cell>
        </row>
        <row r="274">
          <cell r="C274" t="str">
            <v>UCRANIA</v>
          </cell>
          <cell r="D274">
            <v>0.96</v>
          </cell>
          <cell r="E274">
            <v>35</v>
          </cell>
        </row>
        <row r="275">
          <cell r="C275" t="str">
            <v>ESTADOS UNIDOS</v>
          </cell>
          <cell r="D275">
            <v>19177.14</v>
          </cell>
          <cell r="E275">
            <v>184299.76</v>
          </cell>
        </row>
        <row r="276">
          <cell r="C276" t="str">
            <v>URUGUAY</v>
          </cell>
          <cell r="D276">
            <v>21.22</v>
          </cell>
          <cell r="E276">
            <v>65</v>
          </cell>
        </row>
        <row r="277">
          <cell r="C277" t="str">
            <v>VENEZUELA</v>
          </cell>
          <cell r="D277">
            <v>647.44000000000005</v>
          </cell>
          <cell r="E277">
            <v>1706.45</v>
          </cell>
        </row>
        <row r="278">
          <cell r="A278">
            <v>4420900000</v>
          </cell>
          <cell r="B278" t="str">
            <v xml:space="preserve">Demás marquetería, cofrecillos o estuches p'joyeria u orfebre. </v>
          </cell>
          <cell r="C278" t="str">
            <v>ARGENTINA</v>
          </cell>
          <cell r="D278">
            <v>154.76</v>
          </cell>
          <cell r="E278">
            <v>215</v>
          </cell>
        </row>
        <row r="279">
          <cell r="B279" t="str">
            <v>y manufactura similar de madera</v>
          </cell>
          <cell r="C279" t="str">
            <v>AUSTRALIA</v>
          </cell>
          <cell r="D279">
            <v>5.07</v>
          </cell>
          <cell r="E279">
            <v>60.37</v>
          </cell>
        </row>
        <row r="280">
          <cell r="C280" t="str">
            <v>ARUBA</v>
          </cell>
          <cell r="D280">
            <v>2.65</v>
          </cell>
          <cell r="E280">
            <v>10</v>
          </cell>
        </row>
        <row r="281">
          <cell r="C281" t="str">
            <v>BARBADOS</v>
          </cell>
          <cell r="D281">
            <v>10.77</v>
          </cell>
          <cell r="E281">
            <v>50</v>
          </cell>
        </row>
        <row r="282">
          <cell r="C282" t="str">
            <v>BELGICA</v>
          </cell>
          <cell r="D282">
            <v>3.7</v>
          </cell>
          <cell r="E282">
            <v>68.459999999999994</v>
          </cell>
        </row>
        <row r="283">
          <cell r="C283" t="str">
            <v>BRASIL</v>
          </cell>
          <cell r="D283">
            <v>181.46</v>
          </cell>
          <cell r="E283">
            <v>1604.8</v>
          </cell>
        </row>
        <row r="284">
          <cell r="C284" t="str">
            <v>CANADA</v>
          </cell>
          <cell r="D284">
            <v>124.31</v>
          </cell>
          <cell r="E284">
            <v>581.32000000000005</v>
          </cell>
        </row>
        <row r="285">
          <cell r="C285" t="str">
            <v>CHILE</v>
          </cell>
          <cell r="D285">
            <v>216.92</v>
          </cell>
          <cell r="E285">
            <v>628.5</v>
          </cell>
        </row>
        <row r="286">
          <cell r="C286" t="str">
            <v>COLOMBIA</v>
          </cell>
          <cell r="D286">
            <v>464.49</v>
          </cell>
          <cell r="E286">
            <v>2094.6</v>
          </cell>
        </row>
        <row r="287">
          <cell r="C287" t="str">
            <v>ALEMANIA</v>
          </cell>
          <cell r="D287">
            <v>516.01</v>
          </cell>
          <cell r="E287">
            <v>5635.8</v>
          </cell>
        </row>
        <row r="288">
          <cell r="C288" t="str">
            <v>REPUBLICA DOMINICANA</v>
          </cell>
          <cell r="D288">
            <v>235.71</v>
          </cell>
          <cell r="E288">
            <v>629.27</v>
          </cell>
        </row>
        <row r="289">
          <cell r="C289" t="str">
            <v>ESPAYA</v>
          </cell>
          <cell r="D289">
            <v>1120.71</v>
          </cell>
          <cell r="E289">
            <v>4020.23</v>
          </cell>
        </row>
        <row r="290">
          <cell r="C290" t="str">
            <v>FRANCIA</v>
          </cell>
          <cell r="D290">
            <v>2972.28</v>
          </cell>
          <cell r="E290">
            <v>17148.5</v>
          </cell>
        </row>
        <row r="291">
          <cell r="C291" t="str">
            <v>REINO UNIDO</v>
          </cell>
          <cell r="D291">
            <v>239.22</v>
          </cell>
          <cell r="E291">
            <v>2442.8000000000002</v>
          </cell>
        </row>
        <row r="292">
          <cell r="C292" t="str">
            <v>GRECIA</v>
          </cell>
          <cell r="D292">
            <v>9.74</v>
          </cell>
          <cell r="E292">
            <v>72</v>
          </cell>
        </row>
        <row r="293">
          <cell r="C293" t="str">
            <v>GUATEMALA</v>
          </cell>
          <cell r="D293">
            <v>96.31</v>
          </cell>
          <cell r="E293">
            <v>871.34</v>
          </cell>
        </row>
        <row r="294">
          <cell r="C294" t="str">
            <v>HONDURAS</v>
          </cell>
          <cell r="D294">
            <v>175.4</v>
          </cell>
          <cell r="E294">
            <v>239.24</v>
          </cell>
        </row>
        <row r="295">
          <cell r="C295" t="str">
            <v>HUNGRIA</v>
          </cell>
          <cell r="D295">
            <v>32.83</v>
          </cell>
          <cell r="E295">
            <v>138</v>
          </cell>
        </row>
        <row r="296">
          <cell r="C296" t="str">
            <v>ITALIA</v>
          </cell>
          <cell r="D296">
            <v>3076.91</v>
          </cell>
          <cell r="E296">
            <v>9145.59</v>
          </cell>
        </row>
        <row r="297">
          <cell r="C297" t="str">
            <v>JAPON</v>
          </cell>
          <cell r="D297">
            <v>998</v>
          </cell>
          <cell r="E297">
            <v>10909.15</v>
          </cell>
        </row>
        <row r="298">
          <cell r="C298" t="str">
            <v>COREA (SUR), REPUBLICA DE</v>
          </cell>
          <cell r="D298">
            <v>1.0900000000000001</v>
          </cell>
          <cell r="E298">
            <v>4.93</v>
          </cell>
        </row>
        <row r="299">
          <cell r="C299" t="str">
            <v>MALTA</v>
          </cell>
          <cell r="D299">
            <v>34.369999999999997</v>
          </cell>
          <cell r="E299">
            <v>246</v>
          </cell>
        </row>
        <row r="300">
          <cell r="C300" t="str">
            <v>MEXICO</v>
          </cell>
          <cell r="D300">
            <v>275.33999999999997</v>
          </cell>
          <cell r="E300">
            <v>317</v>
          </cell>
        </row>
        <row r="301">
          <cell r="C301" t="str">
            <v>PANAMA</v>
          </cell>
          <cell r="D301">
            <v>53.54</v>
          </cell>
          <cell r="E301">
            <v>640.79999999999995</v>
          </cell>
        </row>
        <row r="302">
          <cell r="C302" t="str">
            <v>PUERTO RICO</v>
          </cell>
          <cell r="D302">
            <v>319.45</v>
          </cell>
          <cell r="E302">
            <v>2823.51</v>
          </cell>
        </row>
        <row r="303">
          <cell r="C303" t="str">
            <v>ARABIA SAUDITA</v>
          </cell>
          <cell r="D303">
            <v>83.87</v>
          </cell>
          <cell r="E303">
            <v>468.45</v>
          </cell>
        </row>
        <row r="304">
          <cell r="C304" t="str">
            <v>UCRANIA</v>
          </cell>
          <cell r="D304">
            <v>0.34</v>
          </cell>
          <cell r="E304">
            <v>12.5</v>
          </cell>
        </row>
        <row r="305">
          <cell r="C305" t="str">
            <v>ESTADOS UNIDOS</v>
          </cell>
          <cell r="D305">
            <v>31946.43</v>
          </cell>
          <cell r="E305">
            <v>186555</v>
          </cell>
        </row>
        <row r="306">
          <cell r="C306" t="str">
            <v>VENEZUELA</v>
          </cell>
          <cell r="D306">
            <v>613.89</v>
          </cell>
          <cell r="E306">
            <v>2127.65</v>
          </cell>
        </row>
        <row r="307">
          <cell r="A307">
            <v>4421100000</v>
          </cell>
          <cell r="B307" t="str">
            <v>Perchas para prendas de vestir, de madera</v>
          </cell>
          <cell r="C307" t="str">
            <v>CANADA</v>
          </cell>
          <cell r="D307">
            <v>12.56</v>
          </cell>
          <cell r="E307">
            <v>30</v>
          </cell>
        </row>
        <row r="308">
          <cell r="C308" t="str">
            <v>ALEMANIA</v>
          </cell>
          <cell r="D308">
            <v>15.27</v>
          </cell>
          <cell r="E308">
            <v>240</v>
          </cell>
        </row>
        <row r="309">
          <cell r="C309" t="str">
            <v>REPUBLICA DOMINICANA</v>
          </cell>
          <cell r="D309">
            <v>148.08000000000001</v>
          </cell>
          <cell r="E309">
            <v>410</v>
          </cell>
        </row>
        <row r="310">
          <cell r="C310" t="str">
            <v>ITALIA</v>
          </cell>
          <cell r="D310">
            <v>45.99</v>
          </cell>
          <cell r="E310">
            <v>86.4</v>
          </cell>
        </row>
        <row r="311">
          <cell r="C311" t="str">
            <v>PUERTO RICO</v>
          </cell>
          <cell r="D311">
            <v>2.68</v>
          </cell>
          <cell r="E311">
            <v>10</v>
          </cell>
        </row>
        <row r="312">
          <cell r="C312" t="str">
            <v>ESTADOS UNIDOS</v>
          </cell>
          <cell r="D312">
            <v>376.26</v>
          </cell>
          <cell r="E312">
            <v>3942.4</v>
          </cell>
        </row>
        <row r="313">
          <cell r="A313" t="str">
            <v xml:space="preserve">ELABORACIÓN  </v>
          </cell>
          <cell r="B313" t="str">
            <v>:  Instituto Nacional de Recursos Naturales - INRENA-DGFFS</v>
          </cell>
          <cell r="E313" t="str">
            <v>Continúa…</v>
          </cell>
        </row>
        <row r="314">
          <cell r="A314">
            <v>4421901000</v>
          </cell>
          <cell r="B314" t="str">
            <v>Canillas, carretes, p'hilatura o tejido y p' hilo de coser, y art siml d´madera</v>
          </cell>
          <cell r="C314" t="str">
            <v>COLOMBIA</v>
          </cell>
          <cell r="D314">
            <v>18320</v>
          </cell>
          <cell r="E314">
            <v>9360</v>
          </cell>
        </row>
        <row r="315">
          <cell r="C315" t="str">
            <v>ESTADOS UNIDOS</v>
          </cell>
          <cell r="D315">
            <v>1.81</v>
          </cell>
          <cell r="E315">
            <v>37.14</v>
          </cell>
        </row>
        <row r="316">
          <cell r="A316">
            <v>4421902000</v>
          </cell>
          <cell r="B316" t="str">
            <v>Palillos de diente, de madera</v>
          </cell>
          <cell r="C316" t="str">
            <v>CHILE</v>
          </cell>
          <cell r="D316">
            <v>7.31</v>
          </cell>
          <cell r="E316">
            <v>67.5</v>
          </cell>
        </row>
        <row r="317">
          <cell r="C317" t="str">
            <v>JAPON</v>
          </cell>
          <cell r="D317">
            <v>6.27</v>
          </cell>
          <cell r="E317">
            <v>135</v>
          </cell>
        </row>
        <row r="318">
          <cell r="C318" t="str">
            <v>COREA (SUR), REPUBLICA DE</v>
          </cell>
          <cell r="D318">
            <v>0.27</v>
          </cell>
          <cell r="E318">
            <v>1.22</v>
          </cell>
        </row>
        <row r="319">
          <cell r="C319" t="str">
            <v>PUERTO RICO</v>
          </cell>
          <cell r="D319">
            <v>0.61</v>
          </cell>
          <cell r="E319">
            <v>3.36</v>
          </cell>
        </row>
        <row r="320">
          <cell r="C320" t="str">
            <v>ESTADOS UNIDOS</v>
          </cell>
          <cell r="D320">
            <v>21.96</v>
          </cell>
          <cell r="E320">
            <v>107.02</v>
          </cell>
        </row>
        <row r="321">
          <cell r="A321">
            <v>4421909000</v>
          </cell>
          <cell r="B321" t="str">
            <v>Demás manufactura de madera</v>
          </cell>
          <cell r="C321" t="str">
            <v>EMIRATOS ARABES UNIDOS</v>
          </cell>
          <cell r="D321">
            <v>228.35</v>
          </cell>
          <cell r="E321">
            <v>808</v>
          </cell>
        </row>
        <row r="322">
          <cell r="C322" t="str">
            <v>ARUBA</v>
          </cell>
          <cell r="D322">
            <v>33.94</v>
          </cell>
          <cell r="E322">
            <v>60</v>
          </cell>
        </row>
        <row r="323">
          <cell r="C323" t="str">
            <v>BOLIVIA</v>
          </cell>
          <cell r="D323">
            <v>15.5</v>
          </cell>
          <cell r="E323">
            <v>80</v>
          </cell>
        </row>
        <row r="324">
          <cell r="C324" t="str">
            <v>BRASIL</v>
          </cell>
          <cell r="D324">
            <v>39.020000000000003</v>
          </cell>
          <cell r="E324">
            <v>82.7</v>
          </cell>
        </row>
        <row r="325">
          <cell r="C325" t="str">
            <v>CANADA</v>
          </cell>
          <cell r="D325">
            <v>0.19</v>
          </cell>
          <cell r="E325">
            <v>33.9</v>
          </cell>
        </row>
        <row r="326">
          <cell r="C326" t="str">
            <v>CHILE</v>
          </cell>
          <cell r="D326">
            <v>389.86</v>
          </cell>
          <cell r="E326">
            <v>132.99</v>
          </cell>
        </row>
        <row r="327">
          <cell r="C327" t="str">
            <v>COLOMBIA</v>
          </cell>
          <cell r="D327">
            <v>1455</v>
          </cell>
          <cell r="E327">
            <v>3427.5</v>
          </cell>
        </row>
        <row r="328">
          <cell r="C328" t="str">
            <v>SUIZA</v>
          </cell>
          <cell r="D328">
            <v>1.22</v>
          </cell>
          <cell r="E328">
            <v>20</v>
          </cell>
        </row>
        <row r="329">
          <cell r="C329" t="str">
            <v>ALEMANIA</v>
          </cell>
          <cell r="D329">
            <v>45.89</v>
          </cell>
          <cell r="E329">
            <v>781.7</v>
          </cell>
        </row>
        <row r="330">
          <cell r="C330" t="str">
            <v>REPUBLICA DOMINICANA</v>
          </cell>
          <cell r="D330">
            <v>148824.45000000001</v>
          </cell>
          <cell r="E330">
            <v>87289.77</v>
          </cell>
        </row>
        <row r="331">
          <cell r="C331" t="str">
            <v>ECUADOR</v>
          </cell>
          <cell r="D331">
            <v>329.42</v>
          </cell>
          <cell r="E331">
            <v>971.62</v>
          </cell>
        </row>
        <row r="332">
          <cell r="C332" t="str">
            <v>ESPAYA</v>
          </cell>
          <cell r="D332">
            <v>579.55999999999995</v>
          </cell>
          <cell r="E332">
            <v>706.5</v>
          </cell>
        </row>
        <row r="333">
          <cell r="C333" t="str">
            <v>FRANCIA</v>
          </cell>
          <cell r="D333">
            <v>391.08</v>
          </cell>
          <cell r="E333">
            <v>3199.5</v>
          </cell>
        </row>
        <row r="334">
          <cell r="C334" t="str">
            <v>REINO UNIDO</v>
          </cell>
          <cell r="D334">
            <v>267.39999999999998</v>
          </cell>
          <cell r="E334">
            <v>580</v>
          </cell>
        </row>
        <row r="335">
          <cell r="C335" t="str">
            <v>GUAYANA FRANCESA</v>
          </cell>
          <cell r="D335">
            <v>0.98</v>
          </cell>
          <cell r="E335">
            <v>24.36</v>
          </cell>
        </row>
        <row r="336">
          <cell r="C336" t="str">
            <v>GUATEMALA</v>
          </cell>
          <cell r="D336">
            <v>14.77</v>
          </cell>
          <cell r="E336">
            <v>66.849999999999994</v>
          </cell>
        </row>
        <row r="337">
          <cell r="C337" t="str">
            <v>HUNGRIA</v>
          </cell>
          <cell r="D337">
            <v>1.74</v>
          </cell>
          <cell r="E337">
            <v>10</v>
          </cell>
        </row>
        <row r="338">
          <cell r="C338" t="str">
            <v>ITALIA</v>
          </cell>
          <cell r="D338">
            <v>385754.7</v>
          </cell>
          <cell r="E338">
            <v>475979.48</v>
          </cell>
        </row>
        <row r="339">
          <cell r="C339" t="str">
            <v>JAPON</v>
          </cell>
          <cell r="D339">
            <v>3.54</v>
          </cell>
          <cell r="E339">
            <v>40</v>
          </cell>
        </row>
        <row r="340">
          <cell r="C340" t="str">
            <v>MEXICO</v>
          </cell>
          <cell r="D340">
            <v>592.08000000000004</v>
          </cell>
          <cell r="E340">
            <v>209.2</v>
          </cell>
        </row>
        <row r="341">
          <cell r="C341" t="str">
            <v>PAISES BAJOS</v>
          </cell>
          <cell r="D341">
            <v>802.7</v>
          </cell>
          <cell r="E341">
            <v>1855.57</v>
          </cell>
        </row>
        <row r="342">
          <cell r="C342" t="str">
            <v>PUERTO RICO</v>
          </cell>
          <cell r="D342">
            <v>155.30000000000001</v>
          </cell>
          <cell r="E342">
            <v>678.96</v>
          </cell>
        </row>
        <row r="343">
          <cell r="C343" t="str">
            <v>SUECIA</v>
          </cell>
          <cell r="D343">
            <v>21060.97</v>
          </cell>
          <cell r="E343">
            <v>30194.2</v>
          </cell>
        </row>
        <row r="344">
          <cell r="C344" t="str">
            <v>TAIWAN (FORMOSA)</v>
          </cell>
          <cell r="D344">
            <v>26.77</v>
          </cell>
          <cell r="E344">
            <v>100</v>
          </cell>
        </row>
        <row r="345">
          <cell r="C345" t="str">
            <v>UCRANIA</v>
          </cell>
          <cell r="D345">
            <v>1.56</v>
          </cell>
          <cell r="E345">
            <v>48</v>
          </cell>
        </row>
        <row r="346">
          <cell r="C346" t="str">
            <v>ESTADOS UNIDOS</v>
          </cell>
          <cell r="D346">
            <v>803532.93</v>
          </cell>
          <cell r="E346">
            <v>1218628.33</v>
          </cell>
        </row>
        <row r="347">
          <cell r="C347" t="str">
            <v>VENEZUELA</v>
          </cell>
          <cell r="D347">
            <v>213.24</v>
          </cell>
          <cell r="E347">
            <v>1127.71</v>
          </cell>
        </row>
        <row r="348">
          <cell r="C348" t="str">
            <v>SUDAFRICA, REPUBLICA DE</v>
          </cell>
          <cell r="D348">
            <v>2.1800000000000002</v>
          </cell>
          <cell r="E348">
            <v>13</v>
          </cell>
        </row>
        <row r="349">
          <cell r="B349" t="str">
            <v/>
          </cell>
          <cell r="D349">
            <v>4027800.1300000013</v>
          </cell>
          <cell r="E349">
            <v>5926770.8300000001</v>
          </cell>
        </row>
        <row r="350">
          <cell r="A350" t="str">
            <v xml:space="preserve">ELABORACIÓN  </v>
          </cell>
          <cell r="B350" t="str">
            <v>:  Instituto Nacional de Recursos Naturales - INRENA-DGFFS</v>
          </cell>
          <cell r="E350" t="str">
            <v>Continúa…</v>
          </cell>
        </row>
        <row r="351">
          <cell r="B351" t="str">
            <v/>
          </cell>
        </row>
        <row r="352">
          <cell r="A352">
            <v>4707300000</v>
          </cell>
          <cell r="B352" t="str">
            <v>Desperdicios o desechos de papel o cartón obten. principal. a par</v>
          </cell>
          <cell r="C352" t="str">
            <v>BOLIVIA</v>
          </cell>
          <cell r="D352">
            <v>498880</v>
          </cell>
          <cell r="E352">
            <v>41503.65</v>
          </cell>
        </row>
        <row r="353">
          <cell r="B353" t="str">
            <v>a partir de pasta mecánica</v>
          </cell>
          <cell r="C353" t="str">
            <v>ECUADOR</v>
          </cell>
          <cell r="D353">
            <v>2857625</v>
          </cell>
          <cell r="E353">
            <v>254623.11</v>
          </cell>
        </row>
        <row r="354">
          <cell r="A354">
            <v>4707900000</v>
          </cell>
          <cell r="B354" t="str">
            <v>Demás desperdicios y desechos de papel o cartón sin clasificar</v>
          </cell>
          <cell r="C354" t="str">
            <v>ECUADOR</v>
          </cell>
          <cell r="D354">
            <v>53550</v>
          </cell>
          <cell r="E354">
            <v>13571.75</v>
          </cell>
        </row>
        <row r="355">
          <cell r="B355" t="str">
            <v/>
          </cell>
          <cell r="D355">
            <v>3410055</v>
          </cell>
          <cell r="E355">
            <v>309698.51</v>
          </cell>
        </row>
        <row r="356">
          <cell r="B356" t="str">
            <v/>
          </cell>
        </row>
        <row r="357">
          <cell r="A357">
            <v>4802200000</v>
          </cell>
          <cell r="B357" t="str">
            <v>Papel y cartón soporte para papel o cartón fotosensibles, termosensible</v>
          </cell>
          <cell r="C357" t="str">
            <v>PANAMA</v>
          </cell>
          <cell r="D357">
            <v>3.33</v>
          </cell>
          <cell r="E357">
            <v>42.02</v>
          </cell>
        </row>
        <row r="358">
          <cell r="C358" t="str">
            <v>VENEZUELA</v>
          </cell>
          <cell r="D358">
            <v>33.5</v>
          </cell>
          <cell r="E358">
            <v>186.72</v>
          </cell>
        </row>
        <row r="359">
          <cell r="A359">
            <v>4802300000</v>
          </cell>
          <cell r="B359" t="str">
            <v>Papel soporte para papel carbón (carbónico)</v>
          </cell>
          <cell r="C359" t="str">
            <v>COLOMBIA</v>
          </cell>
          <cell r="D359">
            <v>2143</v>
          </cell>
          <cell r="E359">
            <v>2321.6</v>
          </cell>
        </row>
        <row r="360">
          <cell r="C360" t="str">
            <v>VENEZUELA</v>
          </cell>
          <cell r="D360">
            <v>58.44</v>
          </cell>
          <cell r="E360">
            <v>264.39999999999998</v>
          </cell>
        </row>
        <row r="361">
          <cell r="A361">
            <v>4802510000</v>
          </cell>
          <cell r="B361" t="str">
            <v>Demás papeles y cartones, s/fibras obten. por procedim. mecánico</v>
          </cell>
          <cell r="C361" t="str">
            <v>COLOMBIA</v>
          </cell>
          <cell r="D361">
            <v>58644</v>
          </cell>
          <cell r="E361">
            <v>72366.710000000006</v>
          </cell>
        </row>
        <row r="362">
          <cell r="B362" t="str">
            <v>de gramaje &lt;40 G/M2</v>
          </cell>
          <cell r="C362" t="str">
            <v>ALEMANIA</v>
          </cell>
          <cell r="D362">
            <v>0.34</v>
          </cell>
          <cell r="E362">
            <v>1</v>
          </cell>
        </row>
        <row r="363">
          <cell r="C363" t="str">
            <v>ECUADOR</v>
          </cell>
          <cell r="D363">
            <v>246616</v>
          </cell>
          <cell r="E363">
            <v>231595.86</v>
          </cell>
        </row>
        <row r="364">
          <cell r="C364" t="str">
            <v>REINO UNIDO</v>
          </cell>
          <cell r="D364">
            <v>0.19</v>
          </cell>
          <cell r="E364">
            <v>1</v>
          </cell>
        </row>
        <row r="365">
          <cell r="A365">
            <v>4802521000</v>
          </cell>
          <cell r="B365" t="str">
            <v>Papel de seguridad para cheques de gramaje &gt;=40 g/m2 pero &lt;=150 g</v>
          </cell>
          <cell r="C365" t="str">
            <v>REPUBLICA DOMINICANA</v>
          </cell>
          <cell r="D365">
            <v>13639</v>
          </cell>
          <cell r="E365">
            <v>21795.119999999999</v>
          </cell>
        </row>
        <row r="366">
          <cell r="C366" t="str">
            <v>ECUADOR</v>
          </cell>
          <cell r="D366">
            <v>207</v>
          </cell>
          <cell r="E366">
            <v>150</v>
          </cell>
        </row>
        <row r="367">
          <cell r="A367">
            <v>4802529000</v>
          </cell>
          <cell r="B367" t="str">
            <v xml:space="preserve">Demás papeles y cartones, s/fibras obten. p'procedim. mecánico </v>
          </cell>
          <cell r="C367" t="str">
            <v>BOLIVIA</v>
          </cell>
          <cell r="D367">
            <v>702.9</v>
          </cell>
          <cell r="E367">
            <v>1556.07</v>
          </cell>
        </row>
        <row r="368">
          <cell r="C368" t="str">
            <v>CHILE</v>
          </cell>
          <cell r="D368">
            <v>295</v>
          </cell>
          <cell r="E368">
            <v>574.98</v>
          </cell>
        </row>
        <row r="369">
          <cell r="C369" t="str">
            <v>COLOMBIA</v>
          </cell>
          <cell r="D369">
            <v>178407.25</v>
          </cell>
          <cell r="E369">
            <v>149102.62</v>
          </cell>
        </row>
        <row r="370">
          <cell r="C370" t="str">
            <v>ECUADOR</v>
          </cell>
          <cell r="D370">
            <v>2629908</v>
          </cell>
          <cell r="E370">
            <v>2312388.81</v>
          </cell>
        </row>
        <row r="371">
          <cell r="A371">
            <v>4802530090</v>
          </cell>
          <cell r="B371" t="str">
            <v>Demás papeles y cartones s/fibras obten. por procedim. Mecánico</v>
          </cell>
          <cell r="C371" t="str">
            <v>CHILE</v>
          </cell>
          <cell r="D371">
            <v>531</v>
          </cell>
          <cell r="E371">
            <v>1757.32</v>
          </cell>
        </row>
        <row r="372">
          <cell r="C372" t="str">
            <v>ECUADOR</v>
          </cell>
          <cell r="D372">
            <v>33403</v>
          </cell>
          <cell r="E372">
            <v>30396.73</v>
          </cell>
        </row>
        <row r="373">
          <cell r="A373">
            <v>4802602000</v>
          </cell>
          <cell r="B373" t="str">
            <v>Otros papeles de seguridad en los q' mas del 10%  peso esta const. fibra</v>
          </cell>
          <cell r="C373" t="str">
            <v>VENEZUELA</v>
          </cell>
          <cell r="D373">
            <v>4700</v>
          </cell>
          <cell r="E373">
            <v>13750</v>
          </cell>
        </row>
        <row r="374">
          <cell r="A374">
            <v>4803009000</v>
          </cell>
          <cell r="B374" t="str">
            <v>Demás papel del utiliz. p' papel higiénico, toallitas p'desmaquilar</v>
          </cell>
          <cell r="C374" t="str">
            <v>CHILE</v>
          </cell>
          <cell r="D374">
            <v>1177979.52</v>
          </cell>
          <cell r="E374">
            <v>794663.25</v>
          </cell>
        </row>
        <row r="375">
          <cell r="C375" t="str">
            <v>COLOMBIA</v>
          </cell>
          <cell r="D375">
            <v>3394651</v>
          </cell>
          <cell r="E375">
            <v>3117145.51</v>
          </cell>
        </row>
        <row r="376">
          <cell r="C376" t="str">
            <v>ECUADOR</v>
          </cell>
          <cell r="D376">
            <v>702338</v>
          </cell>
          <cell r="E376">
            <v>674244.48</v>
          </cell>
        </row>
        <row r="377">
          <cell r="C377" t="str">
            <v>VENEZUELA</v>
          </cell>
          <cell r="D377">
            <v>914888</v>
          </cell>
          <cell r="E377">
            <v>846650.98</v>
          </cell>
        </row>
        <row r="378">
          <cell r="A378">
            <v>4804190000</v>
          </cell>
          <cell r="B378" t="str">
            <v>Demás papel y cartón para caras (cubiertas)("kraftliner")</v>
          </cell>
          <cell r="C378" t="str">
            <v>BOLIVIA</v>
          </cell>
          <cell r="D378">
            <v>13000</v>
          </cell>
          <cell r="E378">
            <v>4576</v>
          </cell>
        </row>
        <row r="379">
          <cell r="A379">
            <v>4804310090</v>
          </cell>
          <cell r="B379" t="str">
            <v>Demás papeles y cartones kraft, crudo, de gramaje&lt;=150g/m2</v>
          </cell>
          <cell r="C379" t="str">
            <v>ECUADOR</v>
          </cell>
          <cell r="D379">
            <v>244721</v>
          </cell>
          <cell r="E379">
            <v>90546.77</v>
          </cell>
        </row>
        <row r="380">
          <cell r="A380">
            <v>4804390000</v>
          </cell>
          <cell r="B380" t="str">
            <v>Demás papeles y cartones kraft, de gramaje&lt;=150g/m2</v>
          </cell>
          <cell r="C380" t="str">
            <v>ECUADOR</v>
          </cell>
          <cell r="D380">
            <v>11817.13</v>
          </cell>
          <cell r="E380">
            <v>34269.69</v>
          </cell>
        </row>
        <row r="381">
          <cell r="A381">
            <v>4805100000</v>
          </cell>
          <cell r="B381" t="str">
            <v>Papel semiquimico para acanalar, sin estucar ni recubrir</v>
          </cell>
          <cell r="C381" t="str">
            <v>BOLIVIA</v>
          </cell>
          <cell r="D381">
            <v>291413</v>
          </cell>
          <cell r="E381">
            <v>113626.84</v>
          </cell>
        </row>
        <row r="382">
          <cell r="C382" t="str">
            <v>CHILE</v>
          </cell>
          <cell r="D382">
            <v>1497269</v>
          </cell>
          <cell r="E382">
            <v>521497.14</v>
          </cell>
        </row>
        <row r="383">
          <cell r="C383" t="str">
            <v>ECUADOR</v>
          </cell>
          <cell r="D383">
            <v>2306405</v>
          </cell>
          <cell r="E383">
            <v>805550.89</v>
          </cell>
        </row>
        <row r="384">
          <cell r="C384" t="str">
            <v>GUATEMALA</v>
          </cell>
          <cell r="D384">
            <v>6567948</v>
          </cell>
          <cell r="E384">
            <v>2041964.83</v>
          </cell>
        </row>
        <row r="385">
          <cell r="C385" t="str">
            <v>HONDURAS</v>
          </cell>
          <cell r="D385">
            <v>1569158</v>
          </cell>
          <cell r="E385">
            <v>470243.02</v>
          </cell>
        </row>
        <row r="386">
          <cell r="C386" t="str">
            <v>PUERTO RICO</v>
          </cell>
          <cell r="D386">
            <v>36760</v>
          </cell>
          <cell r="E386">
            <v>12227.17</v>
          </cell>
        </row>
        <row r="387">
          <cell r="C387" t="str">
            <v>ESTADOS UNIDOS</v>
          </cell>
          <cell r="D387">
            <v>41163</v>
          </cell>
          <cell r="E387">
            <v>14468.79</v>
          </cell>
        </row>
        <row r="388">
          <cell r="C388" t="str">
            <v>VENEZUELA</v>
          </cell>
          <cell r="D388">
            <v>507815</v>
          </cell>
          <cell r="E388">
            <v>159200</v>
          </cell>
        </row>
        <row r="389">
          <cell r="A389" t="str">
            <v xml:space="preserve">ELABORACIÓN  </v>
          </cell>
          <cell r="B389" t="str">
            <v>:  Instituto Nacional de Recursos Naturales - INRENA-DGFFS</v>
          </cell>
          <cell r="E389" t="str">
            <v>Continúa…</v>
          </cell>
        </row>
        <row r="390">
          <cell r="A390">
            <v>4805300000</v>
          </cell>
          <cell r="B390" t="str">
            <v>Papel sulfito para envolver, sin estucar ni recubrir</v>
          </cell>
          <cell r="C390" t="str">
            <v>BOLIVIA</v>
          </cell>
          <cell r="D390">
            <v>41149</v>
          </cell>
          <cell r="E390">
            <v>41797.68</v>
          </cell>
        </row>
        <row r="391">
          <cell r="C391" t="str">
            <v>COLOMBIA</v>
          </cell>
          <cell r="D391">
            <v>125183</v>
          </cell>
          <cell r="E391">
            <v>114943.94</v>
          </cell>
        </row>
        <row r="392">
          <cell r="C392" t="str">
            <v>ECUADOR</v>
          </cell>
          <cell r="D392">
            <v>402461</v>
          </cell>
          <cell r="E392">
            <v>378695.65</v>
          </cell>
        </row>
        <row r="393">
          <cell r="A393">
            <v>4805601000</v>
          </cell>
          <cell r="B393" t="str">
            <v>Demás papeles y cartones absorb, útil. p'la fabr. de lam. plastic</v>
          </cell>
          <cell r="C393" t="str">
            <v>COLOMBIA</v>
          </cell>
          <cell r="D393">
            <v>12736</v>
          </cell>
          <cell r="E393">
            <v>14478.54</v>
          </cell>
        </row>
        <row r="394">
          <cell r="A394">
            <v>4805609090</v>
          </cell>
          <cell r="B394" t="str">
            <v>Demás papeles y cartones de gramaje &lt;= 150 g/m2</v>
          </cell>
          <cell r="C394" t="str">
            <v>ARGENTINA</v>
          </cell>
          <cell r="D394">
            <v>35</v>
          </cell>
          <cell r="E394">
            <v>281.38</v>
          </cell>
        </row>
        <row r="395">
          <cell r="C395" t="str">
            <v>BOLIVIA</v>
          </cell>
          <cell r="D395">
            <v>5774.16</v>
          </cell>
          <cell r="E395">
            <v>7465.78</v>
          </cell>
        </row>
        <row r="396">
          <cell r="C396" t="str">
            <v>ECUADOR</v>
          </cell>
          <cell r="D396">
            <v>659930</v>
          </cell>
          <cell r="E396">
            <v>312144.59999999998</v>
          </cell>
        </row>
        <row r="397">
          <cell r="A397">
            <v>4805709000</v>
          </cell>
          <cell r="B397" t="str">
            <v>Demás papeles y cartones de gramaje &gt; 150 g/m2 pero &lt; 225 g/m2</v>
          </cell>
          <cell r="C397" t="str">
            <v>BOLIVIA</v>
          </cell>
          <cell r="D397">
            <v>375035.4</v>
          </cell>
          <cell r="E397">
            <v>127570.54</v>
          </cell>
        </row>
        <row r="398">
          <cell r="C398" t="str">
            <v>ECUADOR</v>
          </cell>
          <cell r="D398">
            <v>386414</v>
          </cell>
          <cell r="E398">
            <v>182914.08</v>
          </cell>
        </row>
        <row r="399">
          <cell r="C399" t="str">
            <v>EL SALVADOR</v>
          </cell>
          <cell r="D399">
            <v>46558.58</v>
          </cell>
          <cell r="E399">
            <v>16436.650000000001</v>
          </cell>
        </row>
        <row r="400">
          <cell r="A400">
            <v>4805809000</v>
          </cell>
          <cell r="B400" t="str">
            <v>Demás papeles y cartones de gramaje &gt;= 225 g/m2</v>
          </cell>
          <cell r="C400" t="str">
            <v>BOLIVIA</v>
          </cell>
          <cell r="D400">
            <v>57500</v>
          </cell>
          <cell r="E400">
            <v>22988</v>
          </cell>
        </row>
        <row r="401">
          <cell r="C401" t="str">
            <v>ECUADOR</v>
          </cell>
          <cell r="D401">
            <v>90866</v>
          </cell>
          <cell r="E401">
            <v>42707.02</v>
          </cell>
        </row>
        <row r="402">
          <cell r="C402" t="str">
            <v>EL SALVADOR</v>
          </cell>
          <cell r="D402">
            <v>94431.42</v>
          </cell>
          <cell r="E402">
            <v>33377.51</v>
          </cell>
        </row>
        <row r="403">
          <cell r="A403">
            <v>4808100000</v>
          </cell>
          <cell r="B403" t="str">
            <v>Papel y cartón  corrugados,  incluso perforados</v>
          </cell>
          <cell r="C403" t="str">
            <v>COLOMBIA</v>
          </cell>
          <cell r="D403">
            <v>600</v>
          </cell>
          <cell r="E403">
            <v>3180</v>
          </cell>
        </row>
        <row r="404">
          <cell r="C404" t="str">
            <v>ECUADOR</v>
          </cell>
          <cell r="D404">
            <v>286.69</v>
          </cell>
          <cell r="E404">
            <v>1494.94</v>
          </cell>
        </row>
        <row r="405">
          <cell r="C405" t="str">
            <v>FRANCIA</v>
          </cell>
          <cell r="D405">
            <v>699.2</v>
          </cell>
          <cell r="E405">
            <v>2016</v>
          </cell>
        </row>
        <row r="406">
          <cell r="A406">
            <v>4808300000</v>
          </cell>
          <cell r="B406" t="str">
            <v>Demás papeles kraft, rizados ("crepés") o plisados, incluso gofrados</v>
          </cell>
          <cell r="C406" t="str">
            <v>BOLIVIA</v>
          </cell>
          <cell r="D406">
            <v>875.15</v>
          </cell>
          <cell r="E406">
            <v>4832.6000000000004</v>
          </cell>
        </row>
        <row r="407">
          <cell r="A407">
            <v>4809100000</v>
          </cell>
          <cell r="B407" t="str">
            <v>Papel carbón (carbónico) y papeles similares</v>
          </cell>
          <cell r="C407" t="str">
            <v>BOLIVIA</v>
          </cell>
          <cell r="D407">
            <v>4909</v>
          </cell>
          <cell r="E407">
            <v>12047.06</v>
          </cell>
        </row>
        <row r="408">
          <cell r="C408" t="str">
            <v>ESTADOS UNIDOS</v>
          </cell>
          <cell r="D408">
            <v>60</v>
          </cell>
          <cell r="E408">
            <v>531.25</v>
          </cell>
        </row>
        <row r="409">
          <cell r="A409">
            <v>4809900090</v>
          </cell>
          <cell r="B409" t="str">
            <v>Demás papel carbón, autocopia y demás papeles p'copiar o transferir, en bobinas/hojas</v>
          </cell>
          <cell r="C409" t="str">
            <v>BOLIVIA</v>
          </cell>
          <cell r="D409">
            <v>3805</v>
          </cell>
          <cell r="E409">
            <v>29222.09</v>
          </cell>
        </row>
        <row r="410">
          <cell r="A410">
            <v>4810119000</v>
          </cell>
          <cell r="B410" t="str">
            <v>Papel y cartón de los utiliz. para escribir, imprimir de gramaje &gt;60 pero &lt;=150 G/M2</v>
          </cell>
          <cell r="C410" t="str">
            <v>BOLIVIA</v>
          </cell>
          <cell r="D410">
            <v>2155</v>
          </cell>
          <cell r="E410">
            <v>2060.5</v>
          </cell>
        </row>
        <row r="411">
          <cell r="A411">
            <v>4810120000</v>
          </cell>
          <cell r="B411" t="str">
            <v>Papel y cartón de los utiliz. para escribir de gramaje &gt; 150 g/m2</v>
          </cell>
          <cell r="C411" t="str">
            <v>ECUADOR</v>
          </cell>
          <cell r="D411">
            <v>30229</v>
          </cell>
          <cell r="E411">
            <v>27206.1</v>
          </cell>
        </row>
        <row r="412">
          <cell r="A412">
            <v>4810390000</v>
          </cell>
          <cell r="B412" t="str">
            <v>Demás papel y cartón kraft, exc.los util.p'escribir, imprimir u otros afines gráficos</v>
          </cell>
          <cell r="C412" t="str">
            <v>BOLIVIA</v>
          </cell>
          <cell r="D412">
            <v>1553.9</v>
          </cell>
          <cell r="E412">
            <v>1087.93</v>
          </cell>
        </row>
        <row r="413">
          <cell r="A413">
            <v>4811210000</v>
          </cell>
          <cell r="B413" t="str">
            <v>Papel y cartón autoadhesivos, en bobinas o en hojas</v>
          </cell>
          <cell r="C413" t="str">
            <v>ZONAS FRANCAS DEL PERU</v>
          </cell>
          <cell r="D413">
            <v>334.3</v>
          </cell>
          <cell r="E413">
            <v>2108.4</v>
          </cell>
        </row>
        <row r="414">
          <cell r="C414" t="str">
            <v>BOLIVIA</v>
          </cell>
          <cell r="D414">
            <v>349.95</v>
          </cell>
          <cell r="E414">
            <v>1303.6199999999999</v>
          </cell>
        </row>
        <row r="415">
          <cell r="C415" t="str">
            <v>ECUADOR</v>
          </cell>
          <cell r="D415">
            <v>48439</v>
          </cell>
          <cell r="E415">
            <v>137065.67000000001</v>
          </cell>
        </row>
        <row r="416">
          <cell r="A416">
            <v>4811290000</v>
          </cell>
          <cell r="B416" t="str">
            <v>Demás papel y cartón engomados, en bobinas o en hojas</v>
          </cell>
          <cell r="C416" t="str">
            <v>BOLIVIA</v>
          </cell>
          <cell r="D416">
            <v>10887.7</v>
          </cell>
          <cell r="E416">
            <v>15405.01</v>
          </cell>
        </row>
        <row r="417">
          <cell r="A417">
            <v>4811399000</v>
          </cell>
          <cell r="B417" t="str">
            <v>Demás papel y cartón recubiertos, impregnados o revestidos de plástico</v>
          </cell>
          <cell r="C417" t="str">
            <v>ZONAS FRANCAS DEL PERU</v>
          </cell>
          <cell r="D417">
            <v>438</v>
          </cell>
          <cell r="E417">
            <v>1963.57</v>
          </cell>
        </row>
        <row r="418">
          <cell r="C418" t="str">
            <v>CHILE</v>
          </cell>
          <cell r="D418">
            <v>91</v>
          </cell>
          <cell r="E418">
            <v>777.38</v>
          </cell>
        </row>
        <row r="419">
          <cell r="C419" t="str">
            <v>REPUBLICA DOMINICANA</v>
          </cell>
          <cell r="D419">
            <v>546.37</v>
          </cell>
          <cell r="E419">
            <v>4370.96</v>
          </cell>
        </row>
        <row r="420">
          <cell r="A420">
            <v>4811409000</v>
          </cell>
          <cell r="B420" t="str">
            <v>Demás papel y cartón recubierto, impregnado o revestido de cera,parafina,estearina</v>
          </cell>
          <cell r="C420" t="str">
            <v>CHILE</v>
          </cell>
          <cell r="D420">
            <v>3033.5</v>
          </cell>
          <cell r="E420">
            <v>12892.38</v>
          </cell>
        </row>
        <row r="421">
          <cell r="C421" t="str">
            <v>GUATEMALA</v>
          </cell>
          <cell r="D421">
            <v>1512.51</v>
          </cell>
          <cell r="E421">
            <v>7789.4</v>
          </cell>
        </row>
        <row r="422">
          <cell r="C422" t="str">
            <v>VENEZUELA</v>
          </cell>
          <cell r="D422">
            <v>325.5</v>
          </cell>
          <cell r="E422">
            <v>1433.7</v>
          </cell>
        </row>
        <row r="423">
          <cell r="A423">
            <v>4811902000</v>
          </cell>
          <cell r="B423" t="str">
            <v>Papeles, cartones, guata de celulosa de celulosa para juntas o empaquetaduras</v>
          </cell>
          <cell r="C423" t="str">
            <v>BOLIVIA</v>
          </cell>
          <cell r="D423">
            <v>15.66</v>
          </cell>
          <cell r="E423">
            <v>149.97999999999999</v>
          </cell>
        </row>
        <row r="424">
          <cell r="C424" t="str">
            <v>COSTA RICA</v>
          </cell>
          <cell r="D424">
            <v>0.63</v>
          </cell>
          <cell r="E424">
            <v>138.76</v>
          </cell>
        </row>
        <row r="425">
          <cell r="C425" t="str">
            <v>ESTADOS UNIDOS</v>
          </cell>
          <cell r="D425">
            <v>5.59</v>
          </cell>
          <cell r="E425">
            <v>62.78</v>
          </cell>
        </row>
        <row r="426">
          <cell r="A426" t="str">
            <v xml:space="preserve">ELABORACIÓN  </v>
          </cell>
          <cell r="B426" t="str">
            <v>:  Instituto Nacional de Recursos Naturales - INRENA-DGFFS</v>
          </cell>
          <cell r="E426" t="str">
            <v>Continúa…</v>
          </cell>
        </row>
        <row r="427">
          <cell r="A427">
            <v>4811909000</v>
          </cell>
          <cell r="B427" t="str">
            <v>Demás papeles, cartones, guata de celulosa y napa de fibra de celulosa</v>
          </cell>
          <cell r="C427" t="str">
            <v>BOLIVIA</v>
          </cell>
          <cell r="D427">
            <v>1388.34</v>
          </cell>
          <cell r="E427">
            <v>2396.3000000000002</v>
          </cell>
        </row>
        <row r="428">
          <cell r="C428" t="str">
            <v>REPUBLICA DOMINICANA</v>
          </cell>
          <cell r="D428">
            <v>1.67</v>
          </cell>
          <cell r="E428">
            <v>1</v>
          </cell>
        </row>
        <row r="429">
          <cell r="C429" t="str">
            <v>ECUADOR</v>
          </cell>
          <cell r="D429">
            <v>700</v>
          </cell>
          <cell r="E429">
            <v>3350</v>
          </cell>
        </row>
        <row r="430">
          <cell r="C430" t="str">
            <v>MEXICO</v>
          </cell>
          <cell r="D430">
            <v>81632.3</v>
          </cell>
          <cell r="E430">
            <v>277052.02</v>
          </cell>
        </row>
        <row r="431">
          <cell r="C431" t="str">
            <v>PARAGUAY</v>
          </cell>
          <cell r="D431">
            <v>6884</v>
          </cell>
          <cell r="E431">
            <v>23405.599999999999</v>
          </cell>
        </row>
        <row r="432">
          <cell r="A432">
            <v>4814200000</v>
          </cell>
          <cell r="B432" t="str">
            <v>Papel p'decorar y simil. de paredes, constit. por papel recub. c/</v>
          </cell>
          <cell r="C432" t="str">
            <v>ESTADOS UNIDOS</v>
          </cell>
          <cell r="D432">
            <v>2.59</v>
          </cell>
          <cell r="E432">
            <v>11</v>
          </cell>
        </row>
        <row r="433">
          <cell r="A433">
            <v>4814900000</v>
          </cell>
          <cell r="B433" t="str">
            <v>Demás papel para decorar y revestimientos similares de paredes; p</v>
          </cell>
          <cell r="C433" t="str">
            <v>ITALIA</v>
          </cell>
          <cell r="D433">
            <v>4.0599999999999996</v>
          </cell>
          <cell r="E433">
            <v>29.4</v>
          </cell>
        </row>
        <row r="434">
          <cell r="A434">
            <v>4816100000</v>
          </cell>
          <cell r="B434" t="str">
            <v>Papel carbón (carbónico) y papeles similares</v>
          </cell>
          <cell r="C434" t="str">
            <v>BOLIVIA</v>
          </cell>
          <cell r="D434">
            <v>878.4</v>
          </cell>
          <cell r="E434">
            <v>5716.11</v>
          </cell>
        </row>
        <row r="435">
          <cell r="C435" t="str">
            <v>BRASIL</v>
          </cell>
          <cell r="D435">
            <v>6660</v>
          </cell>
          <cell r="E435">
            <v>20240</v>
          </cell>
        </row>
        <row r="436">
          <cell r="C436" t="str">
            <v>PARAGUAY</v>
          </cell>
          <cell r="D436">
            <v>1645.52</v>
          </cell>
          <cell r="E436">
            <v>5810</v>
          </cell>
        </row>
        <row r="437">
          <cell r="A437">
            <v>4817100000</v>
          </cell>
          <cell r="B437" t="str">
            <v>Sobres de papel o cartón</v>
          </cell>
          <cell r="C437" t="str">
            <v>ARGENTINA</v>
          </cell>
          <cell r="D437">
            <v>0.55000000000000004</v>
          </cell>
          <cell r="E437">
            <v>24</v>
          </cell>
        </row>
        <row r="438">
          <cell r="C438" t="str">
            <v>BOLIVIA</v>
          </cell>
          <cell r="D438">
            <v>891.09</v>
          </cell>
          <cell r="E438">
            <v>5727.48</v>
          </cell>
        </row>
        <row r="439">
          <cell r="C439" t="str">
            <v>ALEMANIA</v>
          </cell>
          <cell r="D439">
            <v>127.5</v>
          </cell>
          <cell r="E439">
            <v>60</v>
          </cell>
        </row>
        <row r="440">
          <cell r="C440" t="str">
            <v>ECUADOR</v>
          </cell>
          <cell r="D440">
            <v>7518</v>
          </cell>
          <cell r="E440">
            <v>10879.47</v>
          </cell>
        </row>
        <row r="441">
          <cell r="C441" t="str">
            <v>KENIA</v>
          </cell>
          <cell r="D441">
            <v>95</v>
          </cell>
          <cell r="E441">
            <v>150</v>
          </cell>
        </row>
        <row r="442">
          <cell r="C442" t="str">
            <v>PUERTO RICO</v>
          </cell>
          <cell r="D442">
            <v>106.51</v>
          </cell>
          <cell r="E442">
            <v>723.91</v>
          </cell>
        </row>
        <row r="443">
          <cell r="C443" t="str">
            <v>ESTADOS UNIDOS</v>
          </cell>
          <cell r="D443">
            <v>41.14</v>
          </cell>
          <cell r="E443">
            <v>31</v>
          </cell>
        </row>
        <row r="444">
          <cell r="C444" t="str">
            <v>VENEZUELA</v>
          </cell>
          <cell r="D444">
            <v>1212.76</v>
          </cell>
          <cell r="E444">
            <v>7323.51</v>
          </cell>
        </row>
        <row r="445">
          <cell r="C445" t="str">
            <v>SUDAFRICA, REPUBLICA DE</v>
          </cell>
          <cell r="D445">
            <v>0.5</v>
          </cell>
          <cell r="E445">
            <v>3</v>
          </cell>
        </row>
        <row r="446">
          <cell r="A446">
            <v>4817200000</v>
          </cell>
          <cell r="B446" t="str">
            <v>Sobres carta, tarjetas postales sin ilustrar y tarjetas p'correspondencia</v>
          </cell>
          <cell r="C446" t="str">
            <v>BOLIVIA</v>
          </cell>
          <cell r="D446">
            <v>1957.46</v>
          </cell>
          <cell r="E446">
            <v>9500.35</v>
          </cell>
        </row>
        <row r="447">
          <cell r="C447" t="str">
            <v>ECUADOR</v>
          </cell>
          <cell r="D447">
            <v>1911</v>
          </cell>
          <cell r="E447">
            <v>3039.44</v>
          </cell>
        </row>
        <row r="448">
          <cell r="C448" t="str">
            <v>MEXICO</v>
          </cell>
          <cell r="D448">
            <v>8.8699999999999992</v>
          </cell>
          <cell r="E448">
            <v>67.209999999999994</v>
          </cell>
        </row>
        <row r="449">
          <cell r="C449" t="str">
            <v>VENEZUELA</v>
          </cell>
          <cell r="D449">
            <v>7.82</v>
          </cell>
          <cell r="E449">
            <v>69.2</v>
          </cell>
        </row>
        <row r="450">
          <cell r="A450">
            <v>4817300000</v>
          </cell>
          <cell r="B450" t="str">
            <v>Cajas, bolsas, presentac. simil. d'papel/cartón, c/surtido d'articulos de correspondencia</v>
          </cell>
          <cell r="C450" t="str">
            <v>COLOMBIA</v>
          </cell>
          <cell r="D450">
            <v>5</v>
          </cell>
          <cell r="E450">
            <v>11</v>
          </cell>
        </row>
        <row r="451">
          <cell r="C451" t="str">
            <v>ESTADOS UNIDOS</v>
          </cell>
          <cell r="D451">
            <v>0.5</v>
          </cell>
          <cell r="E451">
            <v>5</v>
          </cell>
        </row>
        <row r="452">
          <cell r="C452" t="str">
            <v>VENEZUELA</v>
          </cell>
          <cell r="D452">
            <v>1900</v>
          </cell>
          <cell r="E452">
            <v>15925</v>
          </cell>
        </row>
        <row r="453">
          <cell r="A453">
            <v>4818100000</v>
          </cell>
          <cell r="B453" t="str">
            <v>Papel higiénico, en bobinas de una anchura &lt;=36 cm</v>
          </cell>
          <cell r="C453" t="str">
            <v>BOLIVIA</v>
          </cell>
          <cell r="D453">
            <v>231120.34</v>
          </cell>
          <cell r="E453">
            <v>201961.01</v>
          </cell>
        </row>
        <row r="454">
          <cell r="C454" t="str">
            <v>CHILE</v>
          </cell>
          <cell r="D454">
            <v>118.61</v>
          </cell>
          <cell r="E454">
            <v>546.04999999999995</v>
          </cell>
        </row>
        <row r="455">
          <cell r="A455">
            <v>4818200000</v>
          </cell>
          <cell r="B455" t="str">
            <v>Pañuelos,  toallitas de  desmaquillar y toallas</v>
          </cell>
          <cell r="C455" t="str">
            <v>BOLIVIA</v>
          </cell>
          <cell r="D455">
            <v>5676</v>
          </cell>
          <cell r="E455">
            <v>6324</v>
          </cell>
        </row>
        <row r="456">
          <cell r="C456" t="str">
            <v>ECUADOR</v>
          </cell>
          <cell r="D456">
            <v>8406.67</v>
          </cell>
          <cell r="E456">
            <v>6402.6</v>
          </cell>
        </row>
        <row r="457">
          <cell r="C457" t="str">
            <v>ESTADOS UNIDOS</v>
          </cell>
          <cell r="D457">
            <v>7.0000000000000007E-2</v>
          </cell>
          <cell r="E457">
            <v>27.6</v>
          </cell>
        </row>
        <row r="458">
          <cell r="A458">
            <v>4818300000</v>
          </cell>
          <cell r="B458" t="str">
            <v>manteles y servilletas de guata de celulosa o napa de fibras de celulosa</v>
          </cell>
          <cell r="C458" t="str">
            <v>BOLIVIA</v>
          </cell>
          <cell r="D458">
            <v>27775.71</v>
          </cell>
          <cell r="E458">
            <v>31941.119999999999</v>
          </cell>
        </row>
        <row r="459">
          <cell r="C459" t="str">
            <v>CHILE</v>
          </cell>
          <cell r="D459">
            <v>94624.78</v>
          </cell>
          <cell r="E459">
            <v>120127.23</v>
          </cell>
        </row>
        <row r="460">
          <cell r="C460" t="str">
            <v>ECUADOR</v>
          </cell>
          <cell r="D460">
            <v>298261</v>
          </cell>
          <cell r="E460">
            <v>292295.78000000003</v>
          </cell>
        </row>
        <row r="461">
          <cell r="C461" t="str">
            <v>ITALIA</v>
          </cell>
          <cell r="D461">
            <v>1.74</v>
          </cell>
          <cell r="E461">
            <v>12.6</v>
          </cell>
        </row>
        <row r="462">
          <cell r="C462" t="str">
            <v>VENEZUELA</v>
          </cell>
          <cell r="D462">
            <v>155085</v>
          </cell>
          <cell r="E462">
            <v>147640.88</v>
          </cell>
        </row>
        <row r="463">
          <cell r="A463" t="str">
            <v xml:space="preserve">ELABORACIÓN  </v>
          </cell>
          <cell r="B463" t="str">
            <v>:  Instituto Nacional de Recursos Naturales - INRENA-DGFFS</v>
          </cell>
          <cell r="E463" t="str">
            <v>Continúa…</v>
          </cell>
        </row>
        <row r="464">
          <cell r="A464">
            <v>4818400000</v>
          </cell>
          <cell r="B464" t="str">
            <v>Compresas y tampones higiénicos, pañales para bebes y art. higiénicos similares</v>
          </cell>
          <cell r="C464" t="str">
            <v>BOLIVIA</v>
          </cell>
          <cell r="D464">
            <v>612920.88</v>
          </cell>
          <cell r="E464">
            <v>1713608.15</v>
          </cell>
        </row>
        <row r="465">
          <cell r="C465" t="str">
            <v>BRASIL</v>
          </cell>
          <cell r="D465">
            <v>27629.46</v>
          </cell>
          <cell r="E465">
            <v>219717.55</v>
          </cell>
        </row>
        <row r="466">
          <cell r="C466" t="str">
            <v>CHILE</v>
          </cell>
          <cell r="D466">
            <v>245635.95</v>
          </cell>
          <cell r="E466">
            <v>741004.87</v>
          </cell>
        </row>
        <row r="467">
          <cell r="C467" t="str">
            <v>COLOMBIA</v>
          </cell>
          <cell r="D467">
            <v>831783.42</v>
          </cell>
          <cell r="E467">
            <v>1746790.22</v>
          </cell>
        </row>
        <row r="468">
          <cell r="C468" t="str">
            <v>COSTA RICA</v>
          </cell>
          <cell r="D468">
            <v>458187.84</v>
          </cell>
          <cell r="E468">
            <v>969214.54</v>
          </cell>
        </row>
        <row r="469">
          <cell r="C469" t="str">
            <v>ECUADOR</v>
          </cell>
          <cell r="D469">
            <v>49455</v>
          </cell>
          <cell r="E469">
            <v>123518.74</v>
          </cell>
        </row>
        <row r="470">
          <cell r="C470" t="str">
            <v>VENEZUELA</v>
          </cell>
          <cell r="D470">
            <v>158789.20000000001</v>
          </cell>
          <cell r="E470">
            <v>340075.8</v>
          </cell>
        </row>
        <row r="471">
          <cell r="A471">
            <v>4818500000</v>
          </cell>
          <cell r="B471" t="str">
            <v>Prendas y complementos (accesorios), de vestir, de pasta de papel</v>
          </cell>
          <cell r="C471" t="str">
            <v>CHILE</v>
          </cell>
          <cell r="D471">
            <v>0.5</v>
          </cell>
          <cell r="E471">
            <v>10</v>
          </cell>
        </row>
        <row r="472">
          <cell r="A472">
            <v>4818900000</v>
          </cell>
          <cell r="B472" t="str">
            <v>Demás papel del tipo de los utiliz. para fines domésticos o sanitario</v>
          </cell>
          <cell r="C472" t="str">
            <v>BOLIVIA</v>
          </cell>
          <cell r="D472">
            <v>12</v>
          </cell>
          <cell r="E472">
            <v>30</v>
          </cell>
        </row>
        <row r="473">
          <cell r="C473" t="str">
            <v>COLOMBIA</v>
          </cell>
          <cell r="D473">
            <v>6669</v>
          </cell>
          <cell r="E473">
            <v>11780</v>
          </cell>
        </row>
        <row r="474">
          <cell r="C474" t="str">
            <v>ESTADOS UNIDOS</v>
          </cell>
          <cell r="D474">
            <v>7.91</v>
          </cell>
          <cell r="E474">
            <v>33</v>
          </cell>
        </row>
        <row r="475">
          <cell r="A475">
            <v>4819100000</v>
          </cell>
          <cell r="B475" t="str">
            <v>Cajas de papel o cartón corrugados</v>
          </cell>
          <cell r="C475" t="str">
            <v>BOLIVIA</v>
          </cell>
          <cell r="D475">
            <v>71576.009999999995</v>
          </cell>
          <cell r="E475">
            <v>78605.83</v>
          </cell>
        </row>
        <row r="476">
          <cell r="C476" t="str">
            <v>CHILE</v>
          </cell>
          <cell r="D476">
            <v>10039.200000000001</v>
          </cell>
          <cell r="E476">
            <v>6529</v>
          </cell>
        </row>
        <row r="477">
          <cell r="C477" t="str">
            <v>COLOMBIA</v>
          </cell>
          <cell r="D477">
            <v>7954.55</v>
          </cell>
          <cell r="E477">
            <v>31181.79</v>
          </cell>
        </row>
        <row r="478">
          <cell r="C478" t="str">
            <v>COSTA RICA</v>
          </cell>
          <cell r="D478">
            <v>16</v>
          </cell>
          <cell r="E478">
            <v>25</v>
          </cell>
        </row>
        <row r="479">
          <cell r="C479" t="str">
            <v>REPUBLICA DOMINICANA</v>
          </cell>
          <cell r="D479">
            <v>31.63</v>
          </cell>
          <cell r="E479">
            <v>111.81</v>
          </cell>
        </row>
        <row r="480">
          <cell r="C480" t="str">
            <v>ECUADOR</v>
          </cell>
          <cell r="D480">
            <v>2017.79</v>
          </cell>
          <cell r="E480">
            <v>7875.2</v>
          </cell>
        </row>
        <row r="481">
          <cell r="C481" t="str">
            <v>FRANCIA</v>
          </cell>
          <cell r="D481">
            <v>13.87</v>
          </cell>
          <cell r="E481">
            <v>88</v>
          </cell>
        </row>
        <row r="482">
          <cell r="C482" t="str">
            <v>HAITI</v>
          </cell>
          <cell r="D482">
            <v>60</v>
          </cell>
          <cell r="E482">
            <v>103.34</v>
          </cell>
        </row>
        <row r="483">
          <cell r="C483" t="str">
            <v>MEXICO</v>
          </cell>
          <cell r="D483">
            <v>209.7</v>
          </cell>
          <cell r="E483">
            <v>652.17999999999995</v>
          </cell>
        </row>
        <row r="484">
          <cell r="C484" t="str">
            <v>PANAMA</v>
          </cell>
          <cell r="D484">
            <v>33737.279999999999</v>
          </cell>
          <cell r="E484">
            <v>46506.18</v>
          </cell>
        </row>
        <row r="485">
          <cell r="C485" t="str">
            <v>PERU</v>
          </cell>
          <cell r="D485">
            <v>4165</v>
          </cell>
          <cell r="E485">
            <v>5438.11</v>
          </cell>
        </row>
        <row r="486">
          <cell r="C486" t="str">
            <v>EL SALVADOR</v>
          </cell>
          <cell r="D486">
            <v>128.85</v>
          </cell>
          <cell r="E486">
            <v>763.3</v>
          </cell>
        </row>
        <row r="487">
          <cell r="C487" t="str">
            <v>ESTADOS UNIDOS</v>
          </cell>
          <cell r="D487">
            <v>4281.58</v>
          </cell>
          <cell r="E487">
            <v>17297.8</v>
          </cell>
        </row>
        <row r="488">
          <cell r="C488" t="str">
            <v>VENEZUELA</v>
          </cell>
          <cell r="D488">
            <v>18061.16</v>
          </cell>
          <cell r="E488">
            <v>19584.93</v>
          </cell>
        </row>
        <row r="489">
          <cell r="A489">
            <v>4819200000</v>
          </cell>
          <cell r="B489" t="str">
            <v>Cajas y cartonajes, plegables, de papel o cartón, sin corrugar</v>
          </cell>
          <cell r="C489" t="str">
            <v>ZONAS FRANCAS DEL PERU</v>
          </cell>
          <cell r="D489">
            <v>3486.35</v>
          </cell>
          <cell r="E489">
            <v>8439.7999999999993</v>
          </cell>
        </row>
        <row r="490">
          <cell r="C490" t="str">
            <v>ARGENTINA</v>
          </cell>
          <cell r="D490">
            <v>21336</v>
          </cell>
          <cell r="E490">
            <v>49347</v>
          </cell>
        </row>
        <row r="491">
          <cell r="C491" t="str">
            <v>BOLIVIA</v>
          </cell>
          <cell r="D491">
            <v>736.1</v>
          </cell>
          <cell r="E491">
            <v>3489.23</v>
          </cell>
        </row>
        <row r="492">
          <cell r="C492" t="str">
            <v>BRASIL</v>
          </cell>
          <cell r="D492">
            <v>284</v>
          </cell>
          <cell r="E492">
            <v>4995</v>
          </cell>
        </row>
        <row r="493">
          <cell r="C493" t="str">
            <v>CANADA</v>
          </cell>
          <cell r="D493">
            <v>13</v>
          </cell>
          <cell r="E493">
            <v>15</v>
          </cell>
        </row>
        <row r="494">
          <cell r="C494" t="str">
            <v>CHILE</v>
          </cell>
          <cell r="D494">
            <v>28065.72</v>
          </cell>
          <cell r="E494">
            <v>65046.57</v>
          </cell>
        </row>
        <row r="495">
          <cell r="C495" t="str">
            <v>CHINA</v>
          </cell>
          <cell r="D495">
            <v>0.46</v>
          </cell>
          <cell r="E495">
            <v>5</v>
          </cell>
        </row>
        <row r="496">
          <cell r="C496" t="str">
            <v>COLOMBIA</v>
          </cell>
          <cell r="D496">
            <v>13571.85</v>
          </cell>
          <cell r="E496">
            <v>61913.86</v>
          </cell>
        </row>
        <row r="497">
          <cell r="C497" t="str">
            <v>COSTA RICA</v>
          </cell>
          <cell r="D497">
            <v>46.92</v>
          </cell>
          <cell r="E497">
            <v>804.5</v>
          </cell>
        </row>
        <row r="498">
          <cell r="C498" t="str">
            <v>ALEMANIA</v>
          </cell>
          <cell r="D498">
            <v>6.86</v>
          </cell>
          <cell r="E498">
            <v>210</v>
          </cell>
        </row>
        <row r="499">
          <cell r="C499" t="str">
            <v>REPUBLICA DOMINICANA</v>
          </cell>
          <cell r="D499">
            <v>6.84</v>
          </cell>
          <cell r="E499">
            <v>17</v>
          </cell>
        </row>
        <row r="500">
          <cell r="C500" t="str">
            <v>ECUADOR</v>
          </cell>
          <cell r="D500">
            <v>2935.94</v>
          </cell>
          <cell r="E500">
            <v>16579.86</v>
          </cell>
        </row>
        <row r="501">
          <cell r="A501" t="str">
            <v xml:space="preserve">ELABORACIÓN  </v>
          </cell>
          <cell r="B501" t="str">
            <v>:  Instituto Nacional de Recursos Naturales - INRENA-DGFFS</v>
          </cell>
          <cell r="E501" t="str">
            <v>Continúa…</v>
          </cell>
        </row>
        <row r="502">
          <cell r="C502" t="str">
            <v>FRANCIA</v>
          </cell>
          <cell r="D502">
            <v>165</v>
          </cell>
          <cell r="E502">
            <v>760.44</v>
          </cell>
        </row>
        <row r="503">
          <cell r="C503" t="str">
            <v>HAITI</v>
          </cell>
          <cell r="D503">
            <v>60</v>
          </cell>
          <cell r="E503">
            <v>60</v>
          </cell>
        </row>
        <row r="504">
          <cell r="C504" t="str">
            <v>JAMAICA</v>
          </cell>
          <cell r="D504">
            <v>485</v>
          </cell>
          <cell r="E504">
            <v>7055</v>
          </cell>
        </row>
        <row r="505">
          <cell r="C505" t="str">
            <v>JAPON</v>
          </cell>
          <cell r="D505">
            <v>64.59</v>
          </cell>
          <cell r="E505">
            <v>1725</v>
          </cell>
        </row>
        <row r="506">
          <cell r="C506" t="str">
            <v>MEXICO</v>
          </cell>
          <cell r="D506">
            <v>693.28</v>
          </cell>
          <cell r="E506">
            <v>4132.91</v>
          </cell>
        </row>
        <row r="507">
          <cell r="C507" t="str">
            <v>PAISES BAJOS</v>
          </cell>
          <cell r="D507">
            <v>0.15</v>
          </cell>
          <cell r="E507">
            <v>1</v>
          </cell>
        </row>
        <row r="508">
          <cell r="C508" t="str">
            <v>PANAMA</v>
          </cell>
          <cell r="D508">
            <v>691.7</v>
          </cell>
          <cell r="E508">
            <v>1456.84</v>
          </cell>
        </row>
        <row r="509">
          <cell r="C509" t="str">
            <v>PERU</v>
          </cell>
          <cell r="D509">
            <v>8820.2000000000007</v>
          </cell>
          <cell r="E509">
            <v>23939.05</v>
          </cell>
        </row>
        <row r="510">
          <cell r="C510" t="str">
            <v>PUERTO RICO</v>
          </cell>
          <cell r="D510">
            <v>61.54</v>
          </cell>
          <cell r="E510">
            <v>1199.74</v>
          </cell>
        </row>
        <row r="511">
          <cell r="C511" t="str">
            <v>ESTADOS UNIDOS</v>
          </cell>
          <cell r="D511">
            <v>1914.81</v>
          </cell>
          <cell r="E511">
            <v>1554.4</v>
          </cell>
        </row>
        <row r="512">
          <cell r="C512" t="str">
            <v>VENEZUELA</v>
          </cell>
          <cell r="D512">
            <v>2484.85</v>
          </cell>
          <cell r="E512">
            <v>10410.74</v>
          </cell>
        </row>
        <row r="513">
          <cell r="A513">
            <v>4819301000</v>
          </cell>
          <cell r="B513" t="str">
            <v>Sacos multipliegos con una anchura en la base &gt;= a 40 cm.</v>
          </cell>
          <cell r="C513" t="str">
            <v>BOLIVIA</v>
          </cell>
          <cell r="D513">
            <v>424883</v>
          </cell>
          <cell r="E513">
            <v>403486.69</v>
          </cell>
        </row>
        <row r="514">
          <cell r="C514" t="str">
            <v>ECUADOR</v>
          </cell>
          <cell r="D514">
            <v>597594.5</v>
          </cell>
          <cell r="E514">
            <v>586815</v>
          </cell>
        </row>
        <row r="515">
          <cell r="A515">
            <v>4819309000</v>
          </cell>
          <cell r="B515" t="str">
            <v>Demás sacos (bolsas) con una anchura en la base &gt;= a 40 cm.</v>
          </cell>
          <cell r="C515" t="str">
            <v>ARGENTINA</v>
          </cell>
          <cell r="D515">
            <v>10.26</v>
          </cell>
          <cell r="E515">
            <v>10.26</v>
          </cell>
        </row>
        <row r="516">
          <cell r="C516" t="str">
            <v>BOLIVIA</v>
          </cell>
          <cell r="D516">
            <v>253.4</v>
          </cell>
          <cell r="E516">
            <v>3047.63</v>
          </cell>
        </row>
        <row r="517">
          <cell r="C517" t="str">
            <v>BRASIL</v>
          </cell>
          <cell r="D517">
            <v>2.1</v>
          </cell>
          <cell r="E517">
            <v>4.8499999999999996</v>
          </cell>
        </row>
        <row r="518">
          <cell r="C518" t="str">
            <v>CHILE</v>
          </cell>
          <cell r="D518">
            <v>229.37</v>
          </cell>
          <cell r="E518">
            <v>2023.33</v>
          </cell>
        </row>
        <row r="519">
          <cell r="C519" t="str">
            <v>COLOMBIA</v>
          </cell>
          <cell r="D519">
            <v>622.53</v>
          </cell>
          <cell r="E519">
            <v>4617.76</v>
          </cell>
        </row>
        <row r="520">
          <cell r="C520" t="str">
            <v>ALEMANIA</v>
          </cell>
          <cell r="D520">
            <v>15</v>
          </cell>
          <cell r="E520">
            <v>9.1999999999999993</v>
          </cell>
        </row>
        <row r="521">
          <cell r="C521" t="str">
            <v>ESPAYA</v>
          </cell>
          <cell r="D521">
            <v>25.9</v>
          </cell>
          <cell r="E521">
            <v>16.600000000000001</v>
          </cell>
        </row>
        <row r="522">
          <cell r="C522" t="str">
            <v>FRANCIA</v>
          </cell>
          <cell r="D522">
            <v>8.3699999999999992</v>
          </cell>
          <cell r="E522">
            <v>5.13</v>
          </cell>
        </row>
        <row r="523">
          <cell r="C523" t="str">
            <v>MEXICO</v>
          </cell>
          <cell r="D523">
            <v>100</v>
          </cell>
          <cell r="E523">
            <v>1062.32</v>
          </cell>
        </row>
        <row r="524">
          <cell r="C524" t="str">
            <v>PUERTO RICO</v>
          </cell>
          <cell r="D524">
            <v>1102.44</v>
          </cell>
          <cell r="E524">
            <v>8468.5400000000009</v>
          </cell>
        </row>
        <row r="525">
          <cell r="C525" t="str">
            <v>SUECIA</v>
          </cell>
          <cell r="D525">
            <v>2</v>
          </cell>
          <cell r="E525">
            <v>4.22</v>
          </cell>
        </row>
        <row r="526">
          <cell r="C526" t="str">
            <v>ESTADOS UNIDOS</v>
          </cell>
          <cell r="D526">
            <v>11.02</v>
          </cell>
          <cell r="E526">
            <v>62.17</v>
          </cell>
        </row>
        <row r="527">
          <cell r="C527" t="str">
            <v>VENEZUELA</v>
          </cell>
          <cell r="D527">
            <v>90.69</v>
          </cell>
          <cell r="E527">
            <v>700</v>
          </cell>
        </row>
        <row r="528">
          <cell r="A528">
            <v>4819400000</v>
          </cell>
          <cell r="B528" t="str">
            <v>Demás sacos (bolsas); bolsitas y cucuruchos</v>
          </cell>
          <cell r="C528" t="str">
            <v>BOLIVIA</v>
          </cell>
          <cell r="D528">
            <v>1163.02</v>
          </cell>
          <cell r="E528">
            <v>9639.08</v>
          </cell>
        </row>
        <row r="529">
          <cell r="C529" t="str">
            <v>CHILE</v>
          </cell>
          <cell r="D529">
            <v>205.56</v>
          </cell>
          <cell r="E529">
            <v>2825.24</v>
          </cell>
        </row>
        <row r="530">
          <cell r="C530" t="str">
            <v>COLOMBIA</v>
          </cell>
          <cell r="D530">
            <v>984.56</v>
          </cell>
          <cell r="E530">
            <v>9405.5400000000009</v>
          </cell>
        </row>
        <row r="531">
          <cell r="C531" t="str">
            <v>ECUADOR</v>
          </cell>
          <cell r="D531">
            <v>640.78</v>
          </cell>
          <cell r="E531">
            <v>1192.8</v>
          </cell>
        </row>
        <row r="532">
          <cell r="C532" t="str">
            <v>REINO UNIDO</v>
          </cell>
          <cell r="D532">
            <v>2.42</v>
          </cell>
          <cell r="E532">
            <v>160</v>
          </cell>
        </row>
        <row r="533">
          <cell r="C533" t="str">
            <v>MEXICO</v>
          </cell>
          <cell r="D533">
            <v>430</v>
          </cell>
          <cell r="E533">
            <v>6020.19</v>
          </cell>
        </row>
        <row r="534">
          <cell r="C534" t="str">
            <v>PANAMA</v>
          </cell>
          <cell r="D534">
            <v>7539.03</v>
          </cell>
          <cell r="E534">
            <v>12826.5</v>
          </cell>
        </row>
        <row r="535">
          <cell r="C535" t="str">
            <v>PUERTO RICO</v>
          </cell>
          <cell r="D535">
            <v>165</v>
          </cell>
          <cell r="E535">
            <v>3644.1</v>
          </cell>
        </row>
        <row r="536">
          <cell r="C536" t="str">
            <v>ESTADOS UNIDOS</v>
          </cell>
          <cell r="D536">
            <v>1.26</v>
          </cell>
          <cell r="E536">
            <v>30</v>
          </cell>
        </row>
        <row r="537">
          <cell r="C537" t="str">
            <v>VENEZUELA</v>
          </cell>
          <cell r="D537">
            <v>1539</v>
          </cell>
          <cell r="E537">
            <v>9737.52</v>
          </cell>
        </row>
        <row r="538">
          <cell r="A538" t="str">
            <v xml:space="preserve">ELABORACIÓN  </v>
          </cell>
          <cell r="B538" t="str">
            <v>:  Instituto Nacional de Recursos Naturales - INRENA-DGFFS</v>
          </cell>
          <cell r="E538" t="str">
            <v>Continúa…</v>
          </cell>
        </row>
        <row r="539">
          <cell r="A539">
            <v>4819500000</v>
          </cell>
          <cell r="B539" t="str">
            <v>Demás envases, incluidas las fundas para discos</v>
          </cell>
          <cell r="C539" t="str">
            <v>AUSTRALIA</v>
          </cell>
          <cell r="D539">
            <v>7.6</v>
          </cell>
          <cell r="E539">
            <v>182.5</v>
          </cell>
        </row>
        <row r="540">
          <cell r="C540" t="str">
            <v>BOLIVIA</v>
          </cell>
          <cell r="D540">
            <v>666.64</v>
          </cell>
          <cell r="E540">
            <v>2177.04</v>
          </cell>
        </row>
        <row r="541">
          <cell r="C541" t="str">
            <v>CHILE</v>
          </cell>
          <cell r="D541">
            <v>1182</v>
          </cell>
          <cell r="E541">
            <v>5490</v>
          </cell>
        </row>
        <row r="542">
          <cell r="C542" t="str">
            <v>ALEMANIA</v>
          </cell>
          <cell r="D542">
            <v>36.369999999999997</v>
          </cell>
          <cell r="E542">
            <v>190</v>
          </cell>
        </row>
        <row r="543">
          <cell r="C543" t="str">
            <v>JAPON</v>
          </cell>
          <cell r="D543">
            <v>60</v>
          </cell>
          <cell r="E543">
            <v>29.5</v>
          </cell>
        </row>
        <row r="544">
          <cell r="C544" t="str">
            <v>PANAMA</v>
          </cell>
          <cell r="D544">
            <v>803.28</v>
          </cell>
          <cell r="E544">
            <v>1297.55</v>
          </cell>
        </row>
        <row r="545">
          <cell r="C545" t="str">
            <v>VENEZUELA</v>
          </cell>
          <cell r="D545">
            <v>2275</v>
          </cell>
          <cell r="E545">
            <v>1672.05</v>
          </cell>
        </row>
        <row r="546">
          <cell r="A546">
            <v>4819600000</v>
          </cell>
          <cell r="B546" t="str">
            <v>Cartonajes de oficina, tienda o similares</v>
          </cell>
          <cell r="C546" t="str">
            <v>CANADA</v>
          </cell>
          <cell r="D546">
            <v>0.32</v>
          </cell>
          <cell r="E546">
            <v>66</v>
          </cell>
        </row>
        <row r="547">
          <cell r="C547" t="str">
            <v>DINAMARCA</v>
          </cell>
          <cell r="D547">
            <v>0.9</v>
          </cell>
          <cell r="E547">
            <v>2</v>
          </cell>
        </row>
        <row r="548">
          <cell r="C548" t="str">
            <v>GUATEMALA</v>
          </cell>
          <cell r="D548">
            <v>176</v>
          </cell>
          <cell r="E548">
            <v>76</v>
          </cell>
        </row>
        <row r="549">
          <cell r="C549" t="str">
            <v>PAISES BAJOS</v>
          </cell>
          <cell r="D549">
            <v>47.98</v>
          </cell>
          <cell r="E549">
            <v>30</v>
          </cell>
        </row>
        <row r="550">
          <cell r="A550">
            <v>4820909000</v>
          </cell>
          <cell r="B550" t="str">
            <v>Demás cubiertas para docum. y art. de oficina o papelería, incl.</v>
          </cell>
          <cell r="C550" t="str">
            <v>BOLIVIA</v>
          </cell>
          <cell r="D550">
            <v>2045.81</v>
          </cell>
          <cell r="E550">
            <v>16565.32</v>
          </cell>
        </row>
        <row r="551">
          <cell r="C551" t="str">
            <v>CHILE</v>
          </cell>
          <cell r="D551">
            <v>0.06</v>
          </cell>
          <cell r="E551">
            <v>2</v>
          </cell>
        </row>
        <row r="552">
          <cell r="C552" t="str">
            <v>COLOMBIA</v>
          </cell>
          <cell r="D552">
            <v>39600</v>
          </cell>
          <cell r="E552">
            <v>39652.959999999999</v>
          </cell>
        </row>
        <row r="553">
          <cell r="A553">
            <v>4821100000</v>
          </cell>
          <cell r="B553" t="str">
            <v>Etiquetas de todas clases, de papel o cartón, impresas</v>
          </cell>
          <cell r="C553" t="str">
            <v>BOLIVIA</v>
          </cell>
          <cell r="D553">
            <v>1196.3499999999999</v>
          </cell>
          <cell r="E553">
            <v>13295.5</v>
          </cell>
        </row>
        <row r="554">
          <cell r="C554" t="str">
            <v>CHILE</v>
          </cell>
          <cell r="D554">
            <v>854.63</v>
          </cell>
          <cell r="E554">
            <v>14451.48</v>
          </cell>
        </row>
        <row r="555">
          <cell r="C555" t="str">
            <v>COLOMBIA</v>
          </cell>
          <cell r="D555">
            <v>1</v>
          </cell>
          <cell r="E555">
            <v>10.8</v>
          </cell>
        </row>
        <row r="556">
          <cell r="C556" t="str">
            <v>COSTA RICA</v>
          </cell>
          <cell r="D556">
            <v>45</v>
          </cell>
          <cell r="E556">
            <v>492</v>
          </cell>
        </row>
        <row r="557">
          <cell r="C557" t="str">
            <v>ECUADOR</v>
          </cell>
          <cell r="D557">
            <v>994.62</v>
          </cell>
          <cell r="E557">
            <v>8822.41</v>
          </cell>
        </row>
        <row r="558">
          <cell r="C558" t="str">
            <v>ESPAYA</v>
          </cell>
          <cell r="D558">
            <v>51.69</v>
          </cell>
          <cell r="E558">
            <v>1185.1199999999999</v>
          </cell>
        </row>
        <row r="559">
          <cell r="C559" t="str">
            <v>FRANCIA</v>
          </cell>
          <cell r="D559">
            <v>15.8</v>
          </cell>
          <cell r="E559">
            <v>171.63</v>
          </cell>
        </row>
        <row r="560">
          <cell r="C560" t="str">
            <v>MEXICO</v>
          </cell>
          <cell r="D560">
            <v>0.45</v>
          </cell>
          <cell r="E560">
            <v>5.0199999999999996</v>
          </cell>
        </row>
        <row r="561">
          <cell r="C561" t="str">
            <v>PAISES BAJOS</v>
          </cell>
          <cell r="D561">
            <v>126.08</v>
          </cell>
          <cell r="E561">
            <v>948.5</v>
          </cell>
        </row>
        <row r="562">
          <cell r="C562" t="str">
            <v>PANAMA</v>
          </cell>
          <cell r="D562">
            <v>1440</v>
          </cell>
          <cell r="E562">
            <v>8360.23</v>
          </cell>
        </row>
        <row r="563">
          <cell r="C563" t="str">
            <v>PUERTO RICO</v>
          </cell>
          <cell r="D563">
            <v>51.39</v>
          </cell>
          <cell r="E563">
            <v>1500</v>
          </cell>
        </row>
        <row r="564">
          <cell r="C564" t="str">
            <v>ESTADOS UNIDOS</v>
          </cell>
          <cell r="D564">
            <v>939.12</v>
          </cell>
          <cell r="E564">
            <v>2567.8000000000002</v>
          </cell>
        </row>
        <row r="565">
          <cell r="C565" t="str">
            <v>VENEZUELA</v>
          </cell>
          <cell r="D565">
            <v>20.12</v>
          </cell>
          <cell r="E565">
            <v>373.12</v>
          </cell>
        </row>
        <row r="566">
          <cell r="A566">
            <v>4821900000</v>
          </cell>
          <cell r="B566" t="str">
            <v>Demás etiquetas de todas clases, de papel o cartón</v>
          </cell>
          <cell r="C566" t="str">
            <v>BOLIVIA</v>
          </cell>
          <cell r="D566">
            <v>97.6</v>
          </cell>
          <cell r="E566">
            <v>840.84</v>
          </cell>
        </row>
        <row r="567">
          <cell r="C567" t="str">
            <v>COLOMBIA</v>
          </cell>
          <cell r="D567">
            <v>5</v>
          </cell>
          <cell r="E567">
            <v>4.2</v>
          </cell>
        </row>
        <row r="568">
          <cell r="C568" t="str">
            <v>COSTA RICA</v>
          </cell>
          <cell r="D568">
            <v>3.5</v>
          </cell>
          <cell r="E568">
            <v>30</v>
          </cell>
        </row>
        <row r="569">
          <cell r="C569" t="str">
            <v>ALEMANIA</v>
          </cell>
          <cell r="D569">
            <v>4.42</v>
          </cell>
          <cell r="E569">
            <v>105</v>
          </cell>
        </row>
        <row r="570">
          <cell r="C570" t="str">
            <v>ECUADOR</v>
          </cell>
          <cell r="D570">
            <v>530.03</v>
          </cell>
          <cell r="E570">
            <v>7645</v>
          </cell>
        </row>
        <row r="571">
          <cell r="C571" t="str">
            <v>ESPAYA</v>
          </cell>
          <cell r="D571">
            <v>2.54</v>
          </cell>
          <cell r="E571">
            <v>7.5</v>
          </cell>
        </row>
        <row r="572">
          <cell r="C572" t="str">
            <v>PUERTO RICO</v>
          </cell>
          <cell r="D572">
            <v>23.99</v>
          </cell>
          <cell r="E572">
            <v>259.45</v>
          </cell>
        </row>
        <row r="573">
          <cell r="C573" t="str">
            <v>VENEZUELA</v>
          </cell>
          <cell r="D573">
            <v>23.88</v>
          </cell>
          <cell r="E573">
            <v>480.2</v>
          </cell>
        </row>
        <row r="574">
          <cell r="A574">
            <v>4822100000</v>
          </cell>
          <cell r="B574" t="str">
            <v>Carretes, bobinas, y soportes simil. utilizados para el bobinado</v>
          </cell>
          <cell r="C574" t="str">
            <v>BOLIVIA</v>
          </cell>
          <cell r="D574">
            <v>1596</v>
          </cell>
          <cell r="E574">
            <v>2463</v>
          </cell>
        </row>
        <row r="575">
          <cell r="C575" t="str">
            <v>COLOMBIA</v>
          </cell>
          <cell r="D575">
            <v>25679.98</v>
          </cell>
          <cell r="E575">
            <v>31760</v>
          </cell>
        </row>
        <row r="576">
          <cell r="C576" t="str">
            <v>ECUADOR</v>
          </cell>
          <cell r="D576">
            <v>40736.199999999997</v>
          </cell>
          <cell r="E576">
            <v>63320.5</v>
          </cell>
        </row>
        <row r="577">
          <cell r="A577" t="str">
            <v xml:space="preserve">ELABORACIÓN  </v>
          </cell>
          <cell r="B577" t="str">
            <v>:  Instituto Nacional de Recursos Naturales - INRENA-DGFFS</v>
          </cell>
          <cell r="E577" t="str">
            <v>Continúa…</v>
          </cell>
        </row>
        <row r="578">
          <cell r="A578">
            <v>4823110000</v>
          </cell>
          <cell r="B578" t="str">
            <v>Papel autoadhesivo, en tiras o en bobinas (rollos)</v>
          </cell>
          <cell r="C578" t="str">
            <v>ZONAS FRANCAS DEL PERU</v>
          </cell>
          <cell r="D578">
            <v>199</v>
          </cell>
          <cell r="E578">
            <v>1557.52</v>
          </cell>
        </row>
        <row r="579">
          <cell r="C579" t="str">
            <v>BOLIVIA</v>
          </cell>
          <cell r="D579">
            <v>797.32</v>
          </cell>
          <cell r="E579">
            <v>3921.8</v>
          </cell>
        </row>
        <row r="580">
          <cell r="C580" t="str">
            <v>CANADA</v>
          </cell>
          <cell r="D580">
            <v>0.27</v>
          </cell>
          <cell r="E580">
            <v>2</v>
          </cell>
        </row>
        <row r="581">
          <cell r="C581" t="str">
            <v>CHILE</v>
          </cell>
          <cell r="D581">
            <v>5555.53</v>
          </cell>
          <cell r="E581">
            <v>13514.15</v>
          </cell>
        </row>
        <row r="582">
          <cell r="C582" t="str">
            <v>COLOMBIA</v>
          </cell>
          <cell r="D582">
            <v>594.49</v>
          </cell>
          <cell r="E582">
            <v>10390.19</v>
          </cell>
        </row>
        <row r="583">
          <cell r="C583" t="str">
            <v>MEXICO</v>
          </cell>
          <cell r="D583">
            <v>1.34</v>
          </cell>
          <cell r="E583">
            <v>10.73</v>
          </cell>
        </row>
        <row r="584">
          <cell r="C584" t="str">
            <v>ESTADOS UNIDOS</v>
          </cell>
          <cell r="D584">
            <v>50.65</v>
          </cell>
          <cell r="E584">
            <v>96</v>
          </cell>
        </row>
        <row r="585">
          <cell r="A585">
            <v>4823200000</v>
          </cell>
          <cell r="B585" t="str">
            <v>Papel y cartón filtro</v>
          </cell>
          <cell r="C585" t="str">
            <v>ECUADOR</v>
          </cell>
          <cell r="D585">
            <v>40.71</v>
          </cell>
          <cell r="E585">
            <v>220</v>
          </cell>
        </row>
        <row r="586">
          <cell r="A586">
            <v>4823400000</v>
          </cell>
          <cell r="B586" t="str">
            <v>Papel diagrama para aparatos registradores, en bobinas (rollos),</v>
          </cell>
          <cell r="C586" t="str">
            <v>ALEMANIA</v>
          </cell>
          <cell r="D586">
            <v>4</v>
          </cell>
          <cell r="E586">
            <v>129.5</v>
          </cell>
        </row>
        <row r="587">
          <cell r="C587" t="str">
            <v>ESTADOS UNIDOS</v>
          </cell>
          <cell r="D587">
            <v>2.8</v>
          </cell>
          <cell r="E587">
            <v>13.92</v>
          </cell>
        </row>
        <row r="588">
          <cell r="C588" t="str">
            <v>VENEZUELA</v>
          </cell>
          <cell r="D588">
            <v>1.08</v>
          </cell>
          <cell r="E588">
            <v>570.24</v>
          </cell>
        </row>
        <row r="589">
          <cell r="A589">
            <v>4823519000</v>
          </cell>
          <cell r="B589" t="str">
            <v>Demás papeles y cartones impresos, estampados o perforados</v>
          </cell>
          <cell r="C589" t="str">
            <v>ESTADOS UNIDOS</v>
          </cell>
          <cell r="D589">
            <v>39</v>
          </cell>
          <cell r="E589">
            <v>5</v>
          </cell>
        </row>
        <row r="590">
          <cell r="A590">
            <v>4823590000</v>
          </cell>
          <cell r="B590" t="str">
            <v>Demás papeles y cartones utiliz. en la escritura, impresión u otros fines gráficos</v>
          </cell>
          <cell r="C590" t="str">
            <v>BOLIVIA</v>
          </cell>
          <cell r="D590">
            <v>15832.73</v>
          </cell>
          <cell r="E590">
            <v>20901.849999999999</v>
          </cell>
        </row>
        <row r="591">
          <cell r="C591" t="str">
            <v>BRASIL</v>
          </cell>
          <cell r="D591">
            <v>290</v>
          </cell>
          <cell r="E591">
            <v>960</v>
          </cell>
        </row>
        <row r="592">
          <cell r="C592" t="str">
            <v>CHILE</v>
          </cell>
          <cell r="D592">
            <v>6.9</v>
          </cell>
          <cell r="E592">
            <v>2.25</v>
          </cell>
        </row>
        <row r="593">
          <cell r="C593" t="str">
            <v>COLOMBIA</v>
          </cell>
          <cell r="D593">
            <v>26042.6</v>
          </cell>
          <cell r="E593">
            <v>23844.47</v>
          </cell>
        </row>
        <row r="594">
          <cell r="C594" t="str">
            <v>REPUBLICA DOMINICANA</v>
          </cell>
          <cell r="D594">
            <v>2.2999999999999998</v>
          </cell>
          <cell r="E594">
            <v>0.75</v>
          </cell>
        </row>
        <row r="595">
          <cell r="C595" t="str">
            <v>ECUADOR</v>
          </cell>
          <cell r="D595">
            <v>116021.86</v>
          </cell>
          <cell r="E595">
            <v>95672.4</v>
          </cell>
        </row>
        <row r="596">
          <cell r="C596" t="str">
            <v>HONDURAS</v>
          </cell>
          <cell r="D596">
            <v>2.2999999999999998</v>
          </cell>
          <cell r="E596">
            <v>0.75</v>
          </cell>
        </row>
        <row r="597">
          <cell r="C597" t="str">
            <v>PUERTO RICO</v>
          </cell>
          <cell r="D597">
            <v>4.5999999999999996</v>
          </cell>
          <cell r="E597">
            <v>1.5</v>
          </cell>
        </row>
        <row r="598">
          <cell r="C598" t="str">
            <v>EL SALVADOR</v>
          </cell>
          <cell r="D598">
            <v>2.2999999999999998</v>
          </cell>
          <cell r="E598">
            <v>0.75</v>
          </cell>
        </row>
        <row r="599">
          <cell r="C599" t="str">
            <v>ESTADOS UNIDOS</v>
          </cell>
          <cell r="D599">
            <v>2.2999999999999998</v>
          </cell>
          <cell r="E599">
            <v>0.75</v>
          </cell>
        </row>
        <row r="600">
          <cell r="C600" t="str">
            <v>VENEZUELA</v>
          </cell>
          <cell r="D600">
            <v>4.5999999999999996</v>
          </cell>
          <cell r="E600">
            <v>1.5</v>
          </cell>
        </row>
        <row r="601">
          <cell r="A601">
            <v>4823600000</v>
          </cell>
          <cell r="B601" t="str">
            <v>Bandejas, fuentes, platos, tazas, vasos y artículos similares, de</v>
          </cell>
          <cell r="C601" t="str">
            <v>AUSTRALIA</v>
          </cell>
          <cell r="D601">
            <v>20.5</v>
          </cell>
          <cell r="E601">
            <v>250</v>
          </cell>
        </row>
        <row r="602">
          <cell r="C602" t="str">
            <v>BOLIVIA</v>
          </cell>
          <cell r="D602">
            <v>4086.37</v>
          </cell>
          <cell r="E602">
            <v>13535.39</v>
          </cell>
        </row>
        <row r="603">
          <cell r="C603" t="str">
            <v>CHILE</v>
          </cell>
          <cell r="D603">
            <v>17022.03</v>
          </cell>
          <cell r="E603">
            <v>50826.76</v>
          </cell>
        </row>
        <row r="604">
          <cell r="C604" t="str">
            <v>REPUBLICA DOMINICANA</v>
          </cell>
          <cell r="D604">
            <v>450.39</v>
          </cell>
          <cell r="E604">
            <v>1534.4</v>
          </cell>
        </row>
        <row r="605">
          <cell r="C605" t="str">
            <v>ESPAYA</v>
          </cell>
          <cell r="D605">
            <v>9.06</v>
          </cell>
          <cell r="E605">
            <v>68.2</v>
          </cell>
        </row>
        <row r="606">
          <cell r="C606" t="str">
            <v>FRANCIA</v>
          </cell>
          <cell r="D606">
            <v>6.44</v>
          </cell>
          <cell r="E606">
            <v>36.5</v>
          </cell>
        </row>
        <row r="607">
          <cell r="C607" t="str">
            <v>ITALIA</v>
          </cell>
          <cell r="D607">
            <v>4.82</v>
          </cell>
          <cell r="E607">
            <v>51.5</v>
          </cell>
        </row>
        <row r="608">
          <cell r="C608" t="str">
            <v>JAPON</v>
          </cell>
          <cell r="D608">
            <v>74.88</v>
          </cell>
          <cell r="E608">
            <v>72</v>
          </cell>
        </row>
        <row r="609">
          <cell r="C609" t="str">
            <v>ESTADOS UNIDOS</v>
          </cell>
          <cell r="D609">
            <v>685.22</v>
          </cell>
          <cell r="E609">
            <v>2439.58</v>
          </cell>
        </row>
        <row r="610">
          <cell r="A610">
            <v>4823700000</v>
          </cell>
          <cell r="B610" t="str">
            <v>Artículos moldeados o prensados, de pasta de papel</v>
          </cell>
          <cell r="C610" t="str">
            <v>ITALIA</v>
          </cell>
          <cell r="D610">
            <v>2.9</v>
          </cell>
          <cell r="E610">
            <v>2</v>
          </cell>
        </row>
        <row r="611">
          <cell r="C611" t="str">
            <v>PAISES BAJOS</v>
          </cell>
          <cell r="D611">
            <v>47.87</v>
          </cell>
          <cell r="E611">
            <v>495.6</v>
          </cell>
        </row>
        <row r="612">
          <cell r="C612" t="str">
            <v>PUERTO RICO</v>
          </cell>
          <cell r="D612">
            <v>2.6</v>
          </cell>
          <cell r="E612">
            <v>14.3</v>
          </cell>
        </row>
        <row r="613">
          <cell r="A613">
            <v>4823903000</v>
          </cell>
          <cell r="B613" t="str">
            <v>Demás papeles, cartones, guata y napa de fibras de celulosa, cort</v>
          </cell>
          <cell r="C613" t="str">
            <v>CHILE</v>
          </cell>
          <cell r="D613">
            <v>90788</v>
          </cell>
          <cell r="E613">
            <v>46669.35</v>
          </cell>
        </row>
        <row r="614">
          <cell r="C614" t="str">
            <v>COLOMBIA</v>
          </cell>
          <cell r="D614">
            <v>292.5</v>
          </cell>
          <cell r="E614">
            <v>2612.5</v>
          </cell>
        </row>
        <row r="615">
          <cell r="C615" t="str">
            <v>FRANCIA</v>
          </cell>
          <cell r="D615">
            <v>64.3</v>
          </cell>
          <cell r="E615">
            <v>474.9</v>
          </cell>
        </row>
        <row r="616">
          <cell r="C616" t="str">
            <v>MEXICO</v>
          </cell>
          <cell r="D616">
            <v>33.07</v>
          </cell>
          <cell r="E616">
            <v>265.39</v>
          </cell>
        </row>
        <row r="617">
          <cell r="C617" t="str">
            <v>VENEZUELA</v>
          </cell>
          <cell r="D617">
            <v>248</v>
          </cell>
          <cell r="E617">
            <v>756</v>
          </cell>
        </row>
        <row r="618">
          <cell r="A618" t="str">
            <v xml:space="preserve">ELABORACIÓN  </v>
          </cell>
          <cell r="B618" t="str">
            <v>:  Instituto Nacional de Recursos Naturales - INRENA-DGFFS</v>
          </cell>
          <cell r="E618" t="str">
            <v>Continúa…</v>
          </cell>
        </row>
        <row r="619">
          <cell r="A619">
            <v>4823904000</v>
          </cell>
          <cell r="B619" t="str">
            <v>Juntas o empaquetaduras, de pasta de papel, papel, cartón, guata</v>
          </cell>
          <cell r="C619" t="str">
            <v>BOLIVIA</v>
          </cell>
          <cell r="D619">
            <v>9.41</v>
          </cell>
          <cell r="E619">
            <v>182.6</v>
          </cell>
        </row>
        <row r="620">
          <cell r="C620" t="str">
            <v>CHILE</v>
          </cell>
          <cell r="D620">
            <v>23.39</v>
          </cell>
          <cell r="E620">
            <v>193.03</v>
          </cell>
        </row>
        <row r="621">
          <cell r="C621" t="str">
            <v>COLOMBIA</v>
          </cell>
          <cell r="D621">
            <v>14.52</v>
          </cell>
          <cell r="E621">
            <v>897.52</v>
          </cell>
        </row>
        <row r="622">
          <cell r="C622" t="str">
            <v>COSTA RICA</v>
          </cell>
          <cell r="D622">
            <v>27.82</v>
          </cell>
          <cell r="E622">
            <v>125.32</v>
          </cell>
        </row>
        <row r="623">
          <cell r="C623" t="str">
            <v>REPUBLICA DOMINICANA</v>
          </cell>
          <cell r="D623">
            <v>12.22</v>
          </cell>
          <cell r="E623">
            <v>68.52</v>
          </cell>
        </row>
        <row r="624">
          <cell r="C624" t="str">
            <v>ECUADOR</v>
          </cell>
          <cell r="D624">
            <v>52.75</v>
          </cell>
          <cell r="E624">
            <v>186.46</v>
          </cell>
        </row>
        <row r="625">
          <cell r="C625" t="str">
            <v>GUATEMALA</v>
          </cell>
          <cell r="D625">
            <v>50.34</v>
          </cell>
          <cell r="E625">
            <v>145.91</v>
          </cell>
        </row>
        <row r="626">
          <cell r="C626" t="str">
            <v>HONDURAS</v>
          </cell>
          <cell r="D626">
            <v>31.73</v>
          </cell>
          <cell r="E626">
            <v>27.7</v>
          </cell>
        </row>
        <row r="627">
          <cell r="C627" t="str">
            <v>MEXICO</v>
          </cell>
          <cell r="D627">
            <v>12.33</v>
          </cell>
          <cell r="E627">
            <v>36.82</v>
          </cell>
        </row>
        <row r="628">
          <cell r="C628" t="str">
            <v>PUERTO RICO</v>
          </cell>
          <cell r="D628">
            <v>292.39999999999998</v>
          </cell>
          <cell r="E628">
            <v>1072.19</v>
          </cell>
        </row>
        <row r="629">
          <cell r="C629" t="str">
            <v>EL SALVADOR</v>
          </cell>
          <cell r="D629">
            <v>29.95</v>
          </cell>
          <cell r="E629">
            <v>153.5</v>
          </cell>
        </row>
        <row r="630">
          <cell r="C630" t="str">
            <v>ESTADOS UNIDOS</v>
          </cell>
          <cell r="D630">
            <v>615.84</v>
          </cell>
          <cell r="E630">
            <v>642.71</v>
          </cell>
        </row>
        <row r="631">
          <cell r="A631">
            <v>4823906000</v>
          </cell>
          <cell r="B631" t="str">
            <v>Patrones, modelos y plantillas, de papel, cartón, guata de celulo</v>
          </cell>
          <cell r="C631" t="str">
            <v>ESTADOS UNIDOS</v>
          </cell>
          <cell r="D631">
            <v>0.03</v>
          </cell>
          <cell r="E631">
            <v>1</v>
          </cell>
        </row>
        <row r="632">
          <cell r="A632">
            <v>4823909900</v>
          </cell>
          <cell r="B632" t="str">
            <v>Demás papeles, cartones, cortados en formato; y demás artic. De</v>
          </cell>
          <cell r="C632" t="str">
            <v>ARUBA</v>
          </cell>
          <cell r="D632">
            <v>36.31</v>
          </cell>
          <cell r="E632">
            <v>54</v>
          </cell>
        </row>
        <row r="633">
          <cell r="C633" t="str">
            <v>BOLIVIA</v>
          </cell>
          <cell r="D633">
            <v>320.62</v>
          </cell>
          <cell r="E633">
            <v>668.97</v>
          </cell>
        </row>
        <row r="634">
          <cell r="C634" t="str">
            <v>CHILE</v>
          </cell>
          <cell r="D634">
            <v>10945.52</v>
          </cell>
          <cell r="E634">
            <v>8297.14</v>
          </cell>
        </row>
        <row r="635">
          <cell r="C635" t="str">
            <v>COLOMBIA</v>
          </cell>
          <cell r="D635">
            <v>20450.580000000002</v>
          </cell>
          <cell r="E635">
            <v>52521.36</v>
          </cell>
        </row>
        <row r="636">
          <cell r="C636" t="str">
            <v>ALEMANIA</v>
          </cell>
          <cell r="D636">
            <v>1</v>
          </cell>
          <cell r="E636">
            <v>25</v>
          </cell>
        </row>
        <row r="637">
          <cell r="C637" t="str">
            <v>REPUBLICA DOMINICANA</v>
          </cell>
          <cell r="D637">
            <v>8.93</v>
          </cell>
          <cell r="E637">
            <v>70</v>
          </cell>
        </row>
        <row r="638">
          <cell r="C638" t="str">
            <v>ECUADOR</v>
          </cell>
          <cell r="D638">
            <v>2601.83</v>
          </cell>
          <cell r="E638">
            <v>17556.099999999999</v>
          </cell>
        </row>
        <row r="639">
          <cell r="C639" t="str">
            <v>ITALIA</v>
          </cell>
          <cell r="D639">
            <v>9.09</v>
          </cell>
          <cell r="E639">
            <v>55</v>
          </cell>
        </row>
        <row r="640">
          <cell r="C640" t="str">
            <v>MEXICO</v>
          </cell>
          <cell r="D640">
            <v>14.18</v>
          </cell>
          <cell r="E640">
            <v>390</v>
          </cell>
        </row>
        <row r="641">
          <cell r="C641" t="str">
            <v>ESTADOS UNIDOS</v>
          </cell>
          <cell r="D641">
            <v>13.84</v>
          </cell>
          <cell r="E641">
            <v>56.83</v>
          </cell>
        </row>
        <row r="642">
          <cell r="C642" t="str">
            <v>URUGUAY</v>
          </cell>
          <cell r="D642">
            <v>4.4800000000000004</v>
          </cell>
          <cell r="E642">
            <v>130</v>
          </cell>
        </row>
        <row r="643">
          <cell r="C643" t="str">
            <v>VENEZUELA</v>
          </cell>
          <cell r="D643">
            <v>2576.17</v>
          </cell>
          <cell r="E643">
            <v>4284</v>
          </cell>
        </row>
        <row r="644">
          <cell r="B644" t="str">
            <v/>
          </cell>
          <cell r="D644">
            <v>29898264.720000025</v>
          </cell>
          <cell r="E644">
            <v>23318711.879999995</v>
          </cell>
        </row>
        <row r="645">
          <cell r="B645" t="str">
            <v/>
          </cell>
        </row>
        <row r="646">
          <cell r="A646">
            <v>9401610000</v>
          </cell>
          <cell r="B646" t="str">
            <v>Asientos con relleno y armazón de madera</v>
          </cell>
          <cell r="C646" t="str">
            <v>ANTILLAS HOLANDESAS</v>
          </cell>
          <cell r="D646">
            <v>22384</v>
          </cell>
          <cell r="E646">
            <v>82914</v>
          </cell>
        </row>
        <row r="647">
          <cell r="C647" t="str">
            <v>CHILE</v>
          </cell>
          <cell r="D647">
            <v>1887.17</v>
          </cell>
          <cell r="E647">
            <v>340.2</v>
          </cell>
        </row>
        <row r="648">
          <cell r="C648" t="str">
            <v>COLOMBIA</v>
          </cell>
          <cell r="D648">
            <v>23.36</v>
          </cell>
          <cell r="E648">
            <v>120</v>
          </cell>
        </row>
        <row r="649">
          <cell r="C649" t="str">
            <v>ALEMANIA</v>
          </cell>
          <cell r="D649">
            <v>5</v>
          </cell>
          <cell r="E649">
            <v>170</v>
          </cell>
        </row>
        <row r="650">
          <cell r="C650" t="str">
            <v>REPUBLICA DOMINICANA</v>
          </cell>
          <cell r="D650">
            <v>68.62</v>
          </cell>
          <cell r="E650">
            <v>190</v>
          </cell>
        </row>
        <row r="651">
          <cell r="C651" t="str">
            <v>ECUADOR</v>
          </cell>
          <cell r="D651">
            <v>4.8899999999999997</v>
          </cell>
          <cell r="E651">
            <v>24.8</v>
          </cell>
        </row>
        <row r="652">
          <cell r="C652" t="str">
            <v>ESPAYA</v>
          </cell>
          <cell r="D652">
            <v>476.34</v>
          </cell>
          <cell r="E652">
            <v>735</v>
          </cell>
        </row>
        <row r="653">
          <cell r="C653" t="str">
            <v>REINO UNIDO</v>
          </cell>
          <cell r="D653">
            <v>2465.9299999999998</v>
          </cell>
          <cell r="E653">
            <v>6780</v>
          </cell>
        </row>
        <row r="654">
          <cell r="C654" t="str">
            <v>MEXICO</v>
          </cell>
          <cell r="D654">
            <v>28.38</v>
          </cell>
          <cell r="E654">
            <v>139.80000000000001</v>
          </cell>
        </row>
        <row r="655">
          <cell r="C655" t="str">
            <v>NICARAGUA</v>
          </cell>
          <cell r="D655">
            <v>669.6</v>
          </cell>
          <cell r="E655">
            <v>2778</v>
          </cell>
        </row>
        <row r="656">
          <cell r="A656" t="str">
            <v xml:space="preserve">ELABORACIÓN  </v>
          </cell>
          <cell r="B656" t="str">
            <v>:  Instituto Nacional de Recursos Naturales - INRENA-DGFFS</v>
          </cell>
          <cell r="E656" t="str">
            <v>Continúa…</v>
          </cell>
        </row>
        <row r="657">
          <cell r="C657" t="str">
            <v>PUERTO RICO</v>
          </cell>
          <cell r="D657">
            <v>4331.6000000000004</v>
          </cell>
          <cell r="E657">
            <v>9501.77</v>
          </cell>
        </row>
        <row r="658">
          <cell r="C658" t="str">
            <v>ESTADOS UNIDOS</v>
          </cell>
          <cell r="D658">
            <v>14707.73</v>
          </cell>
          <cell r="E658">
            <v>118642.49</v>
          </cell>
        </row>
        <row r="659">
          <cell r="C659" t="str">
            <v>VENEZUELA</v>
          </cell>
          <cell r="D659">
            <v>229.02</v>
          </cell>
          <cell r="E659">
            <v>1181.46</v>
          </cell>
        </row>
        <row r="660">
          <cell r="A660">
            <v>9401690000</v>
          </cell>
          <cell r="B660" t="str">
            <v>Los demás asientos con armazón de madera</v>
          </cell>
          <cell r="C660" t="str">
            <v>AUSTRALIA</v>
          </cell>
          <cell r="D660">
            <v>0</v>
          </cell>
          <cell r="E660">
            <v>0</v>
          </cell>
        </row>
        <row r="661">
          <cell r="C661" t="str">
            <v>CANADA</v>
          </cell>
          <cell r="D661">
            <v>86.45</v>
          </cell>
          <cell r="E661">
            <v>213.25</v>
          </cell>
        </row>
        <row r="662">
          <cell r="C662" t="str">
            <v>CHILE</v>
          </cell>
          <cell r="D662">
            <v>900</v>
          </cell>
          <cell r="E662">
            <v>4949</v>
          </cell>
        </row>
        <row r="663">
          <cell r="C663" t="str">
            <v>COSTA RICA</v>
          </cell>
          <cell r="D663">
            <v>180.9</v>
          </cell>
          <cell r="E663">
            <v>628</v>
          </cell>
        </row>
        <row r="664">
          <cell r="C664" t="str">
            <v>SUIZA</v>
          </cell>
          <cell r="D664">
            <v>12.66</v>
          </cell>
          <cell r="E664">
            <v>63.99</v>
          </cell>
        </row>
        <row r="665">
          <cell r="C665" t="str">
            <v>ALEMANIA</v>
          </cell>
          <cell r="D665">
            <v>56.7</v>
          </cell>
          <cell r="E665">
            <v>1756.82</v>
          </cell>
        </row>
        <row r="666">
          <cell r="C666" t="str">
            <v>REPUBLICA DOMINICANA</v>
          </cell>
          <cell r="D666">
            <v>182.89</v>
          </cell>
          <cell r="E666">
            <v>375</v>
          </cell>
        </row>
        <row r="667">
          <cell r="C667" t="str">
            <v>ECUADOR</v>
          </cell>
          <cell r="D667">
            <v>266.31</v>
          </cell>
          <cell r="E667">
            <v>2421</v>
          </cell>
        </row>
        <row r="668">
          <cell r="C668" t="str">
            <v>ESPAYA</v>
          </cell>
          <cell r="D668">
            <v>12348.48</v>
          </cell>
          <cell r="E668">
            <v>22354.54</v>
          </cell>
        </row>
        <row r="669">
          <cell r="C669" t="str">
            <v>FRANCIA</v>
          </cell>
          <cell r="D669">
            <v>1617.94</v>
          </cell>
          <cell r="E669">
            <v>8790.56</v>
          </cell>
        </row>
        <row r="670">
          <cell r="C670" t="str">
            <v>REINO UNIDO</v>
          </cell>
          <cell r="D670">
            <v>78</v>
          </cell>
          <cell r="E670">
            <v>426.8</v>
          </cell>
        </row>
        <row r="671">
          <cell r="C671" t="str">
            <v>GUAYANA FRANCESA</v>
          </cell>
          <cell r="D671">
            <v>19.559999999999999</v>
          </cell>
          <cell r="E671">
            <v>225</v>
          </cell>
        </row>
        <row r="672">
          <cell r="C672" t="str">
            <v>GRECIA</v>
          </cell>
          <cell r="D672">
            <v>43.29</v>
          </cell>
          <cell r="E672">
            <v>320</v>
          </cell>
        </row>
        <row r="673">
          <cell r="C673" t="str">
            <v>GUATEMALA</v>
          </cell>
          <cell r="D673">
            <v>10.09</v>
          </cell>
          <cell r="E673">
            <v>24</v>
          </cell>
        </row>
        <row r="674">
          <cell r="C674" t="str">
            <v>HAITI</v>
          </cell>
          <cell r="D674">
            <v>25.83</v>
          </cell>
          <cell r="E674">
            <v>520</v>
          </cell>
        </row>
        <row r="675">
          <cell r="C675" t="str">
            <v>ITALIA</v>
          </cell>
          <cell r="D675">
            <v>16129.99</v>
          </cell>
          <cell r="E675">
            <v>140685.31</v>
          </cell>
        </row>
        <row r="676">
          <cell r="C676" t="str">
            <v>JAPON</v>
          </cell>
          <cell r="D676">
            <v>409.23</v>
          </cell>
          <cell r="E676">
            <v>3634.9</v>
          </cell>
        </row>
        <row r="677">
          <cell r="C677" t="str">
            <v>COREA (SUR), REPUBLICA DE</v>
          </cell>
          <cell r="D677">
            <v>0.36</v>
          </cell>
          <cell r="E677">
            <v>1.65</v>
          </cell>
        </row>
        <row r="678">
          <cell r="C678" t="str">
            <v>MEXICO</v>
          </cell>
          <cell r="D678">
            <v>4.1399999999999997</v>
          </cell>
          <cell r="E678">
            <v>28</v>
          </cell>
        </row>
        <row r="679">
          <cell r="C679" t="str">
            <v>PANAMA</v>
          </cell>
          <cell r="D679">
            <v>59.14</v>
          </cell>
          <cell r="E679">
            <v>265</v>
          </cell>
        </row>
        <row r="680">
          <cell r="C680" t="str">
            <v>PUERTO RICO</v>
          </cell>
          <cell r="D680">
            <v>1750.32</v>
          </cell>
          <cell r="E680">
            <v>15957.98</v>
          </cell>
        </row>
        <row r="681">
          <cell r="C681" t="str">
            <v>ESTADOS UNIDOS</v>
          </cell>
          <cell r="D681">
            <v>82724.73</v>
          </cell>
          <cell r="E681">
            <v>557951.18000000005</v>
          </cell>
        </row>
        <row r="682">
          <cell r="C682" t="str">
            <v>VENEZUELA</v>
          </cell>
          <cell r="D682">
            <v>32.35</v>
          </cell>
          <cell r="E682">
            <v>368</v>
          </cell>
        </row>
        <row r="683">
          <cell r="A683">
            <v>9403300000</v>
          </cell>
          <cell r="B683" t="str">
            <v>Muebles de madera del tipo de los utilizados en oficinas</v>
          </cell>
          <cell r="C683" t="str">
            <v>ANTILLAS HOLANDESAS</v>
          </cell>
          <cell r="D683">
            <v>6169.57</v>
          </cell>
          <cell r="E683">
            <v>21616</v>
          </cell>
        </row>
        <row r="684">
          <cell r="C684" t="str">
            <v>ARGENTINA</v>
          </cell>
          <cell r="D684">
            <v>2.76</v>
          </cell>
          <cell r="E684">
            <v>121.78</v>
          </cell>
        </row>
        <row r="685">
          <cell r="C685" t="str">
            <v>CANADA</v>
          </cell>
          <cell r="D685">
            <v>5.08</v>
          </cell>
          <cell r="E685">
            <v>27.4</v>
          </cell>
        </row>
        <row r="686">
          <cell r="C686" t="str">
            <v>CHILE</v>
          </cell>
          <cell r="D686">
            <v>3034.08</v>
          </cell>
          <cell r="E686">
            <v>558.65</v>
          </cell>
        </row>
        <row r="687">
          <cell r="C687" t="str">
            <v>ALEMANIA</v>
          </cell>
          <cell r="D687">
            <v>188.96</v>
          </cell>
          <cell r="E687">
            <v>1430</v>
          </cell>
        </row>
        <row r="688">
          <cell r="C688" t="str">
            <v>ECUADOR</v>
          </cell>
          <cell r="D688">
            <v>523</v>
          </cell>
          <cell r="E688">
            <v>2652.58</v>
          </cell>
        </row>
        <row r="689">
          <cell r="C689" t="str">
            <v>ESPAYA</v>
          </cell>
          <cell r="D689">
            <v>1087.6199999999999</v>
          </cell>
          <cell r="E689">
            <v>3131</v>
          </cell>
        </row>
        <row r="690">
          <cell r="C690" t="str">
            <v>FRANCIA</v>
          </cell>
          <cell r="D690">
            <v>574.01</v>
          </cell>
          <cell r="E690">
            <v>2861</v>
          </cell>
        </row>
        <row r="691">
          <cell r="C691" t="str">
            <v>REINO UNIDO</v>
          </cell>
          <cell r="D691">
            <v>772.82</v>
          </cell>
          <cell r="E691">
            <v>2940</v>
          </cell>
        </row>
        <row r="692">
          <cell r="C692" t="str">
            <v>ITALIA</v>
          </cell>
          <cell r="D692">
            <v>742.4</v>
          </cell>
          <cell r="E692">
            <v>6394</v>
          </cell>
        </row>
        <row r="693">
          <cell r="C693" t="str">
            <v>JAPON</v>
          </cell>
          <cell r="D693">
            <v>367.28</v>
          </cell>
          <cell r="E693">
            <v>2520</v>
          </cell>
        </row>
        <row r="694">
          <cell r="A694" t="str">
            <v xml:space="preserve">ELABORACIÓN  </v>
          </cell>
          <cell r="B694" t="str">
            <v>:  Instituto Nacional de Recursos Naturales - INRENA-DGFFS</v>
          </cell>
          <cell r="E694" t="str">
            <v>Continúa…</v>
          </cell>
        </row>
        <row r="695">
          <cell r="C695" t="str">
            <v>PUERTO RICO</v>
          </cell>
          <cell r="D695">
            <v>246.28</v>
          </cell>
          <cell r="E695">
            <v>2060</v>
          </cell>
        </row>
        <row r="696">
          <cell r="C696" t="str">
            <v>ARABIA SAUDITA</v>
          </cell>
          <cell r="D696">
            <v>204.51</v>
          </cell>
          <cell r="E696">
            <v>1498.5</v>
          </cell>
        </row>
        <row r="697">
          <cell r="C697" t="str">
            <v>ESTADOS UNIDOS</v>
          </cell>
          <cell r="D697">
            <v>46291.17</v>
          </cell>
          <cell r="E697">
            <v>321890.87</v>
          </cell>
        </row>
        <row r="698">
          <cell r="C698" t="str">
            <v>VENEZUELA</v>
          </cell>
          <cell r="D698">
            <v>32.950000000000003</v>
          </cell>
          <cell r="E698">
            <v>170</v>
          </cell>
        </row>
        <row r="699">
          <cell r="C699" t="str">
            <v>SUDAFRICA, REPUBLICA DE</v>
          </cell>
          <cell r="D699">
            <v>23</v>
          </cell>
          <cell r="E699">
            <v>5</v>
          </cell>
        </row>
        <row r="700">
          <cell r="A700">
            <v>9403400000</v>
          </cell>
          <cell r="B700" t="str">
            <v>Muebles de madera del tipo de los utilizados en cocinas</v>
          </cell>
          <cell r="C700" t="str">
            <v>ALEMANIA</v>
          </cell>
          <cell r="D700">
            <v>14.71</v>
          </cell>
          <cell r="E700">
            <v>238</v>
          </cell>
        </row>
        <row r="701">
          <cell r="C701" t="str">
            <v>REPUBLICA DOMINICANA</v>
          </cell>
          <cell r="D701">
            <v>16.7</v>
          </cell>
          <cell r="E701">
            <v>100</v>
          </cell>
        </row>
        <row r="702">
          <cell r="C702" t="str">
            <v>ESPAYA</v>
          </cell>
          <cell r="D702">
            <v>106.62</v>
          </cell>
          <cell r="E702">
            <v>622</v>
          </cell>
        </row>
        <row r="703">
          <cell r="C703" t="str">
            <v>FRANCIA</v>
          </cell>
          <cell r="D703">
            <v>940.26</v>
          </cell>
          <cell r="E703">
            <v>4705</v>
          </cell>
        </row>
        <row r="704">
          <cell r="C704" t="str">
            <v>ITALIA</v>
          </cell>
          <cell r="D704">
            <v>47.93</v>
          </cell>
          <cell r="E704">
            <v>290</v>
          </cell>
        </row>
        <row r="705">
          <cell r="C705" t="str">
            <v>JAPON</v>
          </cell>
          <cell r="D705">
            <v>2195.3200000000002</v>
          </cell>
          <cell r="E705">
            <v>7382.33</v>
          </cell>
        </row>
        <row r="706">
          <cell r="C706" t="str">
            <v>PUERTO RICO</v>
          </cell>
          <cell r="D706">
            <v>10.4</v>
          </cell>
          <cell r="E706">
            <v>130</v>
          </cell>
        </row>
        <row r="707">
          <cell r="C707" t="str">
            <v>ESTADOS UNIDOS</v>
          </cell>
          <cell r="D707">
            <v>8143.02</v>
          </cell>
          <cell r="E707">
            <v>35223.01</v>
          </cell>
        </row>
        <row r="708">
          <cell r="A708">
            <v>9403500000</v>
          </cell>
          <cell r="B708" t="str">
            <v>Muebles de madera del tipo de los utilizados en dormitorios</v>
          </cell>
          <cell r="C708" t="str">
            <v>ANTILLAS HOLANDESAS</v>
          </cell>
          <cell r="D708">
            <v>19049.47</v>
          </cell>
          <cell r="E708">
            <v>65439</v>
          </cell>
        </row>
        <row r="709">
          <cell r="C709" t="str">
            <v>ARGENTINA</v>
          </cell>
          <cell r="D709">
            <v>69.569999999999993</v>
          </cell>
          <cell r="E709">
            <v>80</v>
          </cell>
        </row>
        <row r="710">
          <cell r="C710" t="str">
            <v>BRASIL</v>
          </cell>
          <cell r="D710">
            <v>15</v>
          </cell>
          <cell r="E710">
            <v>1</v>
          </cell>
        </row>
        <row r="711">
          <cell r="C711" t="str">
            <v>CANADA</v>
          </cell>
          <cell r="D711">
            <v>66.08</v>
          </cell>
          <cell r="E711">
            <v>167.8</v>
          </cell>
        </row>
        <row r="712">
          <cell r="C712" t="str">
            <v>CHILE</v>
          </cell>
          <cell r="D712">
            <v>13153.43</v>
          </cell>
          <cell r="E712">
            <v>5143.59</v>
          </cell>
        </row>
        <row r="713">
          <cell r="C713" t="str">
            <v>COLOMBIA</v>
          </cell>
          <cell r="D713">
            <v>16.239999999999998</v>
          </cell>
          <cell r="E713">
            <v>83.4</v>
          </cell>
        </row>
        <row r="714">
          <cell r="C714" t="str">
            <v>COSTA RICA</v>
          </cell>
          <cell r="D714">
            <v>94.77</v>
          </cell>
          <cell r="E714">
            <v>329</v>
          </cell>
        </row>
        <row r="715">
          <cell r="C715" t="str">
            <v>ALEMANIA</v>
          </cell>
          <cell r="D715">
            <v>641.58000000000004</v>
          </cell>
          <cell r="E715">
            <v>5981</v>
          </cell>
        </row>
        <row r="716">
          <cell r="C716" t="str">
            <v>REPUBLICA DOMINICANA</v>
          </cell>
          <cell r="D716">
            <v>957.67</v>
          </cell>
          <cell r="E716">
            <v>2425</v>
          </cell>
        </row>
        <row r="717">
          <cell r="C717" t="str">
            <v>ECUADOR</v>
          </cell>
          <cell r="D717">
            <v>4200</v>
          </cell>
          <cell r="E717">
            <v>15705.3</v>
          </cell>
        </row>
        <row r="718">
          <cell r="C718" t="str">
            <v>ESPAYA</v>
          </cell>
          <cell r="D718">
            <v>9577.35</v>
          </cell>
          <cell r="E718">
            <v>13831</v>
          </cell>
        </row>
        <row r="719">
          <cell r="C719" t="str">
            <v>FRANCIA</v>
          </cell>
          <cell r="D719">
            <v>14244.47</v>
          </cell>
          <cell r="E719">
            <v>62270.76</v>
          </cell>
        </row>
        <row r="720">
          <cell r="C720" t="str">
            <v>REINO UNIDO</v>
          </cell>
          <cell r="D720">
            <v>2827.02</v>
          </cell>
          <cell r="E720">
            <v>13999.4</v>
          </cell>
        </row>
        <row r="721">
          <cell r="C721" t="str">
            <v>ITALIA</v>
          </cell>
          <cell r="D721">
            <v>20932.919999999998</v>
          </cell>
          <cell r="E721">
            <v>177063.4</v>
          </cell>
        </row>
        <row r="722">
          <cell r="C722" t="str">
            <v>JAPON</v>
          </cell>
          <cell r="D722">
            <v>5775.16</v>
          </cell>
          <cell r="E722">
            <v>20595.12</v>
          </cell>
        </row>
        <row r="723">
          <cell r="C723" t="str">
            <v>MALTA</v>
          </cell>
          <cell r="D723">
            <v>226.31</v>
          </cell>
          <cell r="E723">
            <v>1620</v>
          </cell>
        </row>
        <row r="724">
          <cell r="C724" t="str">
            <v>MEXICO</v>
          </cell>
          <cell r="D724">
            <v>83.67</v>
          </cell>
          <cell r="E724">
            <v>607</v>
          </cell>
        </row>
        <row r="725">
          <cell r="C725" t="str">
            <v>NICARAGUA</v>
          </cell>
          <cell r="D725">
            <v>758.3</v>
          </cell>
          <cell r="E725">
            <v>3146</v>
          </cell>
        </row>
        <row r="726">
          <cell r="C726" t="str">
            <v>PANAMA</v>
          </cell>
          <cell r="D726">
            <v>339.22</v>
          </cell>
          <cell r="E726">
            <v>1520</v>
          </cell>
        </row>
        <row r="727">
          <cell r="C727" t="str">
            <v>PUERTO RICO</v>
          </cell>
          <cell r="D727">
            <v>2033.45</v>
          </cell>
          <cell r="E727">
            <v>10168.27</v>
          </cell>
        </row>
        <row r="728">
          <cell r="C728" t="str">
            <v>ARABIA SAUDITA</v>
          </cell>
          <cell r="D728">
            <v>417.85</v>
          </cell>
          <cell r="E728">
            <v>2928</v>
          </cell>
        </row>
        <row r="729">
          <cell r="C729" t="str">
            <v>ESTADOS UNIDOS</v>
          </cell>
          <cell r="D729">
            <v>301146.51</v>
          </cell>
          <cell r="E729">
            <v>1626356.47</v>
          </cell>
        </row>
        <row r="730">
          <cell r="C730" t="str">
            <v>VENEZUELA</v>
          </cell>
          <cell r="D730">
            <v>200.65</v>
          </cell>
          <cell r="E730">
            <v>1344</v>
          </cell>
        </row>
        <row r="731">
          <cell r="A731" t="str">
            <v xml:space="preserve">ELABORACIÓN  </v>
          </cell>
          <cell r="B731" t="str">
            <v>:  Instituto Nacional de Recursos Naturales - INRENA-DGFFS</v>
          </cell>
          <cell r="E731" t="str">
            <v>Continúa…</v>
          </cell>
        </row>
        <row r="732">
          <cell r="A732">
            <v>9403600000</v>
          </cell>
          <cell r="B732" t="str">
            <v>Los demás muebles de madera</v>
          </cell>
          <cell r="C732" t="str">
            <v>ANTILLAS HOLANDESAS</v>
          </cell>
          <cell r="D732">
            <v>9149.52</v>
          </cell>
          <cell r="E732">
            <v>33880</v>
          </cell>
        </row>
        <row r="733">
          <cell r="C733" t="str">
            <v>ARGENTINA</v>
          </cell>
          <cell r="D733">
            <v>44.12</v>
          </cell>
          <cell r="E733">
            <v>208</v>
          </cell>
        </row>
        <row r="734">
          <cell r="C734" t="str">
            <v>AUSTRIA</v>
          </cell>
          <cell r="D734">
            <v>25.96</v>
          </cell>
          <cell r="E734">
            <v>195</v>
          </cell>
        </row>
        <row r="735">
          <cell r="C735" t="str">
            <v>AUSTRALIA</v>
          </cell>
          <cell r="D735">
            <v>2101.9299999999998</v>
          </cell>
          <cell r="E735">
            <v>11557.36</v>
          </cell>
        </row>
        <row r="736">
          <cell r="C736" t="str">
            <v>ARUBA</v>
          </cell>
          <cell r="D736">
            <v>362.33</v>
          </cell>
          <cell r="E736">
            <v>685</v>
          </cell>
        </row>
        <row r="737">
          <cell r="C737" t="str">
            <v>BARBADOS</v>
          </cell>
          <cell r="D737">
            <v>4.6100000000000003</v>
          </cell>
          <cell r="E737">
            <v>20</v>
          </cell>
        </row>
        <row r="738">
          <cell r="C738" t="str">
            <v>BOLIVIA</v>
          </cell>
          <cell r="D738">
            <v>1267</v>
          </cell>
          <cell r="E738">
            <v>8640</v>
          </cell>
        </row>
        <row r="739">
          <cell r="C739" t="str">
            <v>BRASIL</v>
          </cell>
          <cell r="D739">
            <v>60</v>
          </cell>
          <cell r="E739">
            <v>4</v>
          </cell>
        </row>
        <row r="740">
          <cell r="C740" t="str">
            <v>CANADA</v>
          </cell>
          <cell r="D740">
            <v>591.61</v>
          </cell>
          <cell r="E740">
            <v>4573.75</v>
          </cell>
        </row>
        <row r="741">
          <cell r="C741" t="str">
            <v>CHILE</v>
          </cell>
          <cell r="D741">
            <v>3613.89</v>
          </cell>
          <cell r="E741">
            <v>5393.82</v>
          </cell>
        </row>
        <row r="742">
          <cell r="C742" t="str">
            <v>COLOMBIA</v>
          </cell>
          <cell r="D742">
            <v>236.77</v>
          </cell>
          <cell r="E742">
            <v>1772</v>
          </cell>
        </row>
        <row r="743">
          <cell r="C743" t="str">
            <v>COSTA RICA</v>
          </cell>
          <cell r="D743">
            <v>553.35</v>
          </cell>
          <cell r="E743">
            <v>1921</v>
          </cell>
        </row>
        <row r="744">
          <cell r="C744" t="str">
            <v>SUIZA</v>
          </cell>
          <cell r="D744">
            <v>3.33</v>
          </cell>
          <cell r="E744">
            <v>23.72</v>
          </cell>
        </row>
        <row r="745">
          <cell r="C745" t="str">
            <v>ALEMANIA</v>
          </cell>
          <cell r="D745">
            <v>1875.68</v>
          </cell>
          <cell r="E745">
            <v>22980.080000000002</v>
          </cell>
        </row>
        <row r="746">
          <cell r="C746" t="str">
            <v>REPUBLICA DOMINICANA</v>
          </cell>
          <cell r="D746">
            <v>3018.56</v>
          </cell>
          <cell r="E746">
            <v>7804</v>
          </cell>
        </row>
        <row r="747">
          <cell r="C747" t="str">
            <v>ECUADOR</v>
          </cell>
          <cell r="D747">
            <v>798.72</v>
          </cell>
          <cell r="E747">
            <v>7261.15</v>
          </cell>
        </row>
        <row r="748">
          <cell r="C748" t="str">
            <v>ESPAYA</v>
          </cell>
          <cell r="D748">
            <v>15624.55</v>
          </cell>
          <cell r="E748">
            <v>37448.28</v>
          </cell>
        </row>
        <row r="749">
          <cell r="C749" t="str">
            <v>FRANCIA</v>
          </cell>
          <cell r="D749">
            <v>16526.03</v>
          </cell>
          <cell r="E749">
            <v>87878.92</v>
          </cell>
        </row>
        <row r="750">
          <cell r="C750" t="str">
            <v>REINO UNIDO</v>
          </cell>
          <cell r="D750">
            <v>8562.5400000000009</v>
          </cell>
          <cell r="E750">
            <v>33674.400000000001</v>
          </cell>
        </row>
        <row r="751">
          <cell r="C751" t="str">
            <v>GUAYANA FRANCESA</v>
          </cell>
          <cell r="D751">
            <v>2.93</v>
          </cell>
          <cell r="E751">
            <v>72.8</v>
          </cell>
        </row>
        <row r="752">
          <cell r="C752" t="str">
            <v>GRECIA</v>
          </cell>
          <cell r="D752">
            <v>206.42</v>
          </cell>
          <cell r="E752">
            <v>1526</v>
          </cell>
        </row>
        <row r="753">
          <cell r="C753" t="str">
            <v>GUATEMALA</v>
          </cell>
          <cell r="D753">
            <v>136.99</v>
          </cell>
          <cell r="E753">
            <v>461</v>
          </cell>
        </row>
        <row r="754">
          <cell r="C754" t="str">
            <v>HAITI</v>
          </cell>
          <cell r="D754">
            <v>222.52</v>
          </cell>
          <cell r="E754">
            <v>4480</v>
          </cell>
        </row>
        <row r="755">
          <cell r="C755" t="str">
            <v>ISRAEL</v>
          </cell>
          <cell r="D755">
            <v>34.090000000000003</v>
          </cell>
          <cell r="E755">
            <v>55</v>
          </cell>
        </row>
        <row r="756">
          <cell r="C756" t="str">
            <v>ITALIA</v>
          </cell>
          <cell r="D756">
            <v>37477.769999999997</v>
          </cell>
          <cell r="E756">
            <v>293222.26</v>
          </cell>
        </row>
        <row r="757">
          <cell r="C757" t="str">
            <v>JAPON</v>
          </cell>
          <cell r="D757">
            <v>5110.6899999999996</v>
          </cell>
          <cell r="E757">
            <v>28129.45</v>
          </cell>
        </row>
        <row r="758">
          <cell r="C758" t="str">
            <v>MALTA</v>
          </cell>
          <cell r="D758">
            <v>94.99</v>
          </cell>
          <cell r="E758">
            <v>680</v>
          </cell>
        </row>
        <row r="759">
          <cell r="C759" t="str">
            <v>MEXICO</v>
          </cell>
          <cell r="D759">
            <v>1144.45</v>
          </cell>
          <cell r="E759">
            <v>14516.58</v>
          </cell>
        </row>
        <row r="760">
          <cell r="C760" t="str">
            <v>NICARAGUA</v>
          </cell>
          <cell r="D760">
            <v>988</v>
          </cell>
          <cell r="E760">
            <v>4099</v>
          </cell>
        </row>
        <row r="761">
          <cell r="C761" t="str">
            <v>PAISES BAJOS</v>
          </cell>
          <cell r="D761">
            <v>40</v>
          </cell>
          <cell r="E761">
            <v>110</v>
          </cell>
        </row>
        <row r="762">
          <cell r="C762" t="str">
            <v>PANAMA</v>
          </cell>
          <cell r="D762">
            <v>742.69</v>
          </cell>
          <cell r="E762">
            <v>3752.5</v>
          </cell>
        </row>
        <row r="763">
          <cell r="C763" t="str">
            <v>PUERTO RICO</v>
          </cell>
          <cell r="D763">
            <v>8421.7000000000007</v>
          </cell>
          <cell r="E763">
            <v>30947.98</v>
          </cell>
        </row>
        <row r="764">
          <cell r="C764" t="str">
            <v>ARABIA SAUDITA</v>
          </cell>
          <cell r="D764">
            <v>378.61</v>
          </cell>
          <cell r="E764">
            <v>2225.6999999999998</v>
          </cell>
        </row>
        <row r="765">
          <cell r="C765" t="str">
            <v>ESTADOS UNIDOS</v>
          </cell>
          <cell r="D765">
            <v>655893.35</v>
          </cell>
          <cell r="E765">
            <v>4433575.0599999996</v>
          </cell>
        </row>
        <row r="766">
          <cell r="C766" t="str">
            <v>VENEZUELA</v>
          </cell>
          <cell r="D766">
            <v>1378.56</v>
          </cell>
          <cell r="E766">
            <v>7808.01</v>
          </cell>
        </row>
        <row r="767">
          <cell r="C767" t="str">
            <v>SUDAFRICA, REPUBLICA DE</v>
          </cell>
          <cell r="D767">
            <v>1.68</v>
          </cell>
          <cell r="E767">
            <v>10</v>
          </cell>
        </row>
        <row r="768">
          <cell r="A768" t="str">
            <v xml:space="preserve">ELABORACIÓN  </v>
          </cell>
          <cell r="B768" t="str">
            <v>:  Instituto Nacional de Recursos Naturales - INRENA-DGFFS</v>
          </cell>
          <cell r="E768" t="str">
            <v>Continúa…</v>
          </cell>
        </row>
        <row r="769">
          <cell r="A769">
            <v>9403901000</v>
          </cell>
          <cell r="B769" t="str">
            <v>Partes para muebles de madera</v>
          </cell>
          <cell r="C769" t="str">
            <v>ANTILLAS HOLANDESAS</v>
          </cell>
          <cell r="D769">
            <v>6007.88</v>
          </cell>
          <cell r="E769">
            <v>23203</v>
          </cell>
        </row>
        <row r="770">
          <cell r="C770" t="str">
            <v>AUSTRALIA</v>
          </cell>
          <cell r="D770">
            <v>31.84</v>
          </cell>
          <cell r="E770">
            <v>108.4</v>
          </cell>
        </row>
        <row r="771">
          <cell r="C771" t="str">
            <v>CHILE</v>
          </cell>
          <cell r="D771">
            <v>4064.12</v>
          </cell>
          <cell r="E771">
            <v>732.64</v>
          </cell>
        </row>
        <row r="772">
          <cell r="C772" t="str">
            <v>COLOMBIA</v>
          </cell>
          <cell r="D772">
            <v>0.66</v>
          </cell>
          <cell r="E772">
            <v>5</v>
          </cell>
        </row>
        <row r="773">
          <cell r="C773" t="str">
            <v>ALEMANIA</v>
          </cell>
          <cell r="D773">
            <v>16.25</v>
          </cell>
          <cell r="E773">
            <v>139.86000000000001</v>
          </cell>
        </row>
        <row r="774">
          <cell r="C774" t="str">
            <v>ECUADOR</v>
          </cell>
          <cell r="D774">
            <v>1278.1099999999999</v>
          </cell>
          <cell r="E774">
            <v>6482.45</v>
          </cell>
        </row>
        <row r="775">
          <cell r="C775" t="str">
            <v>ESPAYA</v>
          </cell>
          <cell r="D775">
            <v>8273.7900000000009</v>
          </cell>
          <cell r="E775">
            <v>11020</v>
          </cell>
        </row>
        <row r="776">
          <cell r="C776" t="str">
            <v>FRANCIA</v>
          </cell>
          <cell r="D776">
            <v>221.34</v>
          </cell>
          <cell r="E776">
            <v>1143</v>
          </cell>
        </row>
        <row r="777">
          <cell r="C777" t="str">
            <v>REINO UNIDO</v>
          </cell>
          <cell r="D777">
            <v>32.99</v>
          </cell>
          <cell r="E777">
            <v>315</v>
          </cell>
        </row>
        <row r="778">
          <cell r="C778" t="str">
            <v>ITALIA</v>
          </cell>
          <cell r="D778">
            <v>1134.26</v>
          </cell>
          <cell r="E778">
            <v>9448</v>
          </cell>
        </row>
        <row r="779">
          <cell r="C779" t="str">
            <v>JAPON</v>
          </cell>
          <cell r="D779">
            <v>4907.26</v>
          </cell>
          <cell r="E779">
            <v>18550.169999999998</v>
          </cell>
        </row>
        <row r="780">
          <cell r="C780" t="str">
            <v>MEXICO</v>
          </cell>
          <cell r="D780">
            <v>0.61</v>
          </cell>
          <cell r="E780">
            <v>3</v>
          </cell>
        </row>
        <row r="781">
          <cell r="C781" t="str">
            <v>PUERTO RICO</v>
          </cell>
          <cell r="D781">
            <v>44.46</v>
          </cell>
          <cell r="E781">
            <v>224.9</v>
          </cell>
        </row>
        <row r="782">
          <cell r="C782" t="str">
            <v>ARABIA SAUDITA</v>
          </cell>
          <cell r="D782">
            <v>5.24</v>
          </cell>
          <cell r="E782">
            <v>20.100000000000001</v>
          </cell>
        </row>
        <row r="783">
          <cell r="C783" t="str">
            <v>ESTADOS UNIDOS</v>
          </cell>
          <cell r="D783">
            <v>15409.93</v>
          </cell>
          <cell r="E783">
            <v>111166.11</v>
          </cell>
        </row>
        <row r="784">
          <cell r="C784" t="str">
            <v>VENEZUELA</v>
          </cell>
          <cell r="D784">
            <v>108.82</v>
          </cell>
          <cell r="E784">
            <v>810</v>
          </cell>
        </row>
        <row r="785">
          <cell r="A785">
            <v>9403909000</v>
          </cell>
          <cell r="B785" t="str">
            <v>Partes para los demás muebles</v>
          </cell>
          <cell r="C785" t="str">
            <v>BOLIVIA</v>
          </cell>
          <cell r="D785">
            <v>291.20999999999998</v>
          </cell>
          <cell r="E785">
            <v>3335.91</v>
          </cell>
        </row>
        <row r="786">
          <cell r="C786" t="str">
            <v>ECUADOR</v>
          </cell>
          <cell r="D786">
            <v>3677.34</v>
          </cell>
          <cell r="E786">
            <v>17507.43</v>
          </cell>
        </row>
        <row r="787">
          <cell r="C787" t="str">
            <v>ESTADOS UNIDOS</v>
          </cell>
          <cell r="D787">
            <v>14.28</v>
          </cell>
          <cell r="E787">
            <v>90</v>
          </cell>
        </row>
        <row r="788">
          <cell r="A788">
            <v>9405990000</v>
          </cell>
          <cell r="B788" t="str">
            <v>Las demás partes</v>
          </cell>
          <cell r="C788" t="str">
            <v>AUSTRALIA</v>
          </cell>
          <cell r="D788">
            <v>1.32</v>
          </cell>
          <cell r="E788">
            <v>31</v>
          </cell>
        </row>
        <row r="789">
          <cell r="C789" t="str">
            <v>BOLIVIA</v>
          </cell>
          <cell r="D789">
            <v>71</v>
          </cell>
          <cell r="E789">
            <v>6</v>
          </cell>
        </row>
        <row r="790">
          <cell r="C790" t="str">
            <v>CHILE</v>
          </cell>
          <cell r="D790">
            <v>21.49</v>
          </cell>
          <cell r="E790">
            <v>268.86</v>
          </cell>
        </row>
        <row r="791">
          <cell r="C791" t="str">
            <v>ECUADOR</v>
          </cell>
          <cell r="D791">
            <v>150</v>
          </cell>
          <cell r="E791">
            <v>2030</v>
          </cell>
        </row>
        <row r="792">
          <cell r="C792" t="str">
            <v>ESPAYA</v>
          </cell>
          <cell r="D792">
            <v>42.32</v>
          </cell>
          <cell r="E792">
            <v>105</v>
          </cell>
        </row>
        <row r="793">
          <cell r="C793" t="str">
            <v>FRANCIA</v>
          </cell>
          <cell r="D793">
            <v>3.46</v>
          </cell>
          <cell r="E793">
            <v>15</v>
          </cell>
        </row>
        <row r="794">
          <cell r="C794" t="str">
            <v>ITALIA</v>
          </cell>
          <cell r="D794">
            <v>15.04</v>
          </cell>
          <cell r="E794">
            <v>171.5</v>
          </cell>
        </row>
        <row r="795">
          <cell r="C795" t="str">
            <v>JAPON</v>
          </cell>
          <cell r="D795">
            <v>9.81</v>
          </cell>
          <cell r="E795">
            <v>33.200000000000003</v>
          </cell>
        </row>
        <row r="796">
          <cell r="C796" t="str">
            <v>PANAMA</v>
          </cell>
          <cell r="D796">
            <v>40</v>
          </cell>
          <cell r="E796">
            <v>100</v>
          </cell>
        </row>
        <row r="797">
          <cell r="C797" t="str">
            <v>EL SALVADOR</v>
          </cell>
          <cell r="D797">
            <v>1250</v>
          </cell>
          <cell r="E797">
            <v>12597</v>
          </cell>
        </row>
        <row r="798">
          <cell r="C798" t="str">
            <v>ESTADOS UNIDOS</v>
          </cell>
          <cell r="D798">
            <v>7239.27</v>
          </cell>
          <cell r="E798">
            <v>74818.27</v>
          </cell>
        </row>
        <row r="799">
          <cell r="A799">
            <v>9406000000</v>
          </cell>
          <cell r="B799" t="str">
            <v>Construcciones prefabricadas.</v>
          </cell>
          <cell r="C799" t="str">
            <v>ECUADOR</v>
          </cell>
          <cell r="D799">
            <v>2844.8</v>
          </cell>
          <cell r="E799">
            <v>14428.45</v>
          </cell>
        </row>
        <row r="800">
          <cell r="C800" t="str">
            <v>PERU</v>
          </cell>
          <cell r="D800">
            <v>10378.799999999999</v>
          </cell>
          <cell r="E800">
            <v>5052.07</v>
          </cell>
        </row>
        <row r="801">
          <cell r="C801" t="str">
            <v>ESTADOS UNIDOS</v>
          </cell>
          <cell r="D801">
            <v>7542.5</v>
          </cell>
          <cell r="E801">
            <v>37041.14</v>
          </cell>
        </row>
        <row r="802">
          <cell r="B802" t="str">
            <v/>
          </cell>
          <cell r="D802">
            <v>1484614.2800000005</v>
          </cell>
          <cell r="E802">
            <v>8877443.4099999964</v>
          </cell>
        </row>
        <row r="803">
          <cell r="B803" t="str">
            <v/>
          </cell>
        </row>
        <row r="804">
          <cell r="A804">
            <v>9614200000</v>
          </cell>
          <cell r="B804" t="str">
            <v>Pipas y cazoletas</v>
          </cell>
          <cell r="C804" t="str">
            <v>EMIRATOS ARABES UNIDOS</v>
          </cell>
          <cell r="D804">
            <v>3.2</v>
          </cell>
          <cell r="E804">
            <v>42</v>
          </cell>
        </row>
        <row r="805">
          <cell r="C805" t="str">
            <v>ARGENTINA</v>
          </cell>
          <cell r="D805">
            <v>15.73</v>
          </cell>
          <cell r="E805">
            <v>56.98</v>
          </cell>
        </row>
        <row r="806">
          <cell r="A806" t="str">
            <v xml:space="preserve">ELABORACIÓN  </v>
          </cell>
          <cell r="B806" t="str">
            <v>:  Instituto Nacional de Recursos Naturales - INRENA-DGFFS</v>
          </cell>
          <cell r="E806" t="str">
            <v>Continúa…</v>
          </cell>
        </row>
        <row r="807">
          <cell r="C807" t="str">
            <v>AUSTRIA</v>
          </cell>
          <cell r="D807">
            <v>5.42</v>
          </cell>
          <cell r="E807">
            <v>34</v>
          </cell>
        </row>
        <row r="808">
          <cell r="C808" t="str">
            <v>ARUBA</v>
          </cell>
          <cell r="D808">
            <v>234.02</v>
          </cell>
          <cell r="E808">
            <v>348</v>
          </cell>
        </row>
        <row r="809">
          <cell r="C809" t="str">
            <v>BARBADOS</v>
          </cell>
          <cell r="D809">
            <v>8.19</v>
          </cell>
          <cell r="E809">
            <v>42</v>
          </cell>
        </row>
        <row r="810">
          <cell r="C810" t="str">
            <v>CANADA</v>
          </cell>
          <cell r="D810">
            <v>2.87</v>
          </cell>
          <cell r="E810">
            <v>25</v>
          </cell>
        </row>
        <row r="811">
          <cell r="C811" t="str">
            <v>ALEMANIA</v>
          </cell>
          <cell r="D811">
            <v>7.91</v>
          </cell>
          <cell r="E811">
            <v>28.68</v>
          </cell>
        </row>
        <row r="812">
          <cell r="C812" t="str">
            <v>REPUBLICA DOMINICANA</v>
          </cell>
          <cell r="D812">
            <v>646.36</v>
          </cell>
          <cell r="E812">
            <v>2316.04</v>
          </cell>
        </row>
        <row r="813">
          <cell r="C813" t="str">
            <v>ESPAYA</v>
          </cell>
          <cell r="D813">
            <v>4852.5200000000004</v>
          </cell>
          <cell r="E813">
            <v>65242.09</v>
          </cell>
        </row>
        <row r="814">
          <cell r="C814" t="str">
            <v>FRANCIA</v>
          </cell>
          <cell r="D814">
            <v>1419.64</v>
          </cell>
          <cell r="E814">
            <v>14181.9</v>
          </cell>
        </row>
        <row r="815">
          <cell r="C815" t="str">
            <v>REINO UNIDO</v>
          </cell>
          <cell r="D815">
            <v>2.48</v>
          </cell>
          <cell r="E815">
            <v>7.05</v>
          </cell>
        </row>
        <row r="816">
          <cell r="C816" t="str">
            <v>GUAYANA FRANCESA</v>
          </cell>
          <cell r="D816">
            <v>21.69</v>
          </cell>
          <cell r="E816">
            <v>318.3</v>
          </cell>
        </row>
        <row r="817">
          <cell r="C817" t="str">
            <v>HUNGRIA</v>
          </cell>
          <cell r="D817">
            <v>19.78</v>
          </cell>
          <cell r="E817">
            <v>114</v>
          </cell>
        </row>
        <row r="818">
          <cell r="C818" t="str">
            <v>ISRAEL</v>
          </cell>
          <cell r="D818">
            <v>377.82</v>
          </cell>
          <cell r="E818">
            <v>1668.85</v>
          </cell>
        </row>
        <row r="819">
          <cell r="C819" t="str">
            <v>ITALIA</v>
          </cell>
          <cell r="D819">
            <v>445.3</v>
          </cell>
          <cell r="E819">
            <v>2344.4699999999998</v>
          </cell>
        </row>
        <row r="820">
          <cell r="C820" t="str">
            <v>COREA</v>
          </cell>
          <cell r="D820">
            <v>3.13</v>
          </cell>
          <cell r="E820">
            <v>3</v>
          </cell>
        </row>
        <row r="821">
          <cell r="C821" t="str">
            <v>PAISES BAJOS</v>
          </cell>
          <cell r="D821">
            <v>162.68</v>
          </cell>
          <cell r="E821">
            <v>620.5</v>
          </cell>
        </row>
        <row r="822">
          <cell r="C822" t="str">
            <v>NORUEGA</v>
          </cell>
          <cell r="D822">
            <v>13.48</v>
          </cell>
          <cell r="E822">
            <v>75</v>
          </cell>
        </row>
        <row r="823">
          <cell r="C823" t="str">
            <v>PANAMA</v>
          </cell>
          <cell r="D823">
            <v>13.1</v>
          </cell>
          <cell r="E823">
            <v>11</v>
          </cell>
        </row>
        <row r="824">
          <cell r="C824" t="str">
            <v>FILIPINAS</v>
          </cell>
          <cell r="D824">
            <v>5.43</v>
          </cell>
          <cell r="E824">
            <v>20</v>
          </cell>
        </row>
        <row r="825">
          <cell r="C825" t="str">
            <v>PORTUGAL</v>
          </cell>
          <cell r="D825">
            <v>5.66</v>
          </cell>
          <cell r="E825">
            <v>20</v>
          </cell>
        </row>
        <row r="826">
          <cell r="C826" t="str">
            <v>RUMANIA</v>
          </cell>
          <cell r="D826">
            <v>3.34</v>
          </cell>
          <cell r="E826">
            <v>12.88</v>
          </cell>
        </row>
        <row r="827">
          <cell r="C827" t="str">
            <v>ESTADOS UNIDOS</v>
          </cell>
          <cell r="D827">
            <v>1213.26</v>
          </cell>
          <cell r="E827">
            <v>8079</v>
          </cell>
        </row>
        <row r="828">
          <cell r="C828" t="str">
            <v>VENEZUELA</v>
          </cell>
          <cell r="D828">
            <v>87.01</v>
          </cell>
          <cell r="E828">
            <v>624.80999999999995</v>
          </cell>
        </row>
        <row r="829">
          <cell r="C829" t="str">
            <v>SUDAFRICA</v>
          </cell>
          <cell r="D829">
            <v>2.63</v>
          </cell>
          <cell r="E829">
            <v>20.3</v>
          </cell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DER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Tabla42-43_DEMA CSS"/>
      <sheetName val="Tabla44-48_CapturayEsquila"/>
      <sheetName val="Tabla49_CazaFurtiva"/>
    </sheetNames>
    <sheetDataSet>
      <sheetData sheetId="0" refreshError="1"/>
      <sheetData sheetId="1">
        <row r="9">
          <cell r="F9" t="str">
            <v>N° DEMA</v>
          </cell>
          <cell r="G9" t="str">
            <v>Superficie (ha)</v>
          </cell>
        </row>
        <row r="10">
          <cell r="B10" t="str">
            <v>Apurímac</v>
          </cell>
          <cell r="F10">
            <v>5</v>
          </cell>
          <cell r="G10">
            <v>3461.5643</v>
          </cell>
        </row>
        <row r="11">
          <cell r="B11" t="str">
            <v>Arequipa</v>
          </cell>
          <cell r="F11">
            <v>26</v>
          </cell>
          <cell r="G11">
            <v>255809.59460000001</v>
          </cell>
        </row>
        <row r="12">
          <cell r="B12" t="str">
            <v>Ayacucho</v>
          </cell>
          <cell r="F12">
            <v>5</v>
          </cell>
          <cell r="G12">
            <v>5710.8780999999999</v>
          </cell>
        </row>
        <row r="13">
          <cell r="B13" t="str">
            <v>Cajamarca</v>
          </cell>
          <cell r="F13">
            <v>1</v>
          </cell>
          <cell r="G13">
            <v>610.27</v>
          </cell>
        </row>
        <row r="14">
          <cell r="B14" t="str">
            <v>Cusco</v>
          </cell>
          <cell r="F14">
            <v>3</v>
          </cell>
          <cell r="G14">
            <v>2940.3</v>
          </cell>
        </row>
        <row r="15">
          <cell r="B15" t="str">
            <v>Moquegua</v>
          </cell>
          <cell r="F15">
            <v>5</v>
          </cell>
          <cell r="G15">
            <v>26985.694100000001</v>
          </cell>
        </row>
        <row r="16">
          <cell r="B16" t="str">
            <v>Puno</v>
          </cell>
          <cell r="F16">
            <v>7</v>
          </cell>
          <cell r="G16">
            <v>14513.250400000001</v>
          </cell>
        </row>
        <row r="23">
          <cell r="C23" t="str">
            <v>N° DEMAS</v>
          </cell>
        </row>
        <row r="24">
          <cell r="B24" t="str">
            <v>Asociación</v>
          </cell>
          <cell r="C24">
            <v>27</v>
          </cell>
        </row>
        <row r="25">
          <cell r="B25" t="str">
            <v>Comunidad campesina</v>
          </cell>
          <cell r="C25">
            <v>20</v>
          </cell>
        </row>
        <row r="26">
          <cell r="B26" t="str">
            <v>Persona natural</v>
          </cell>
          <cell r="C26">
            <v>4</v>
          </cell>
        </row>
        <row r="27">
          <cell r="B27" t="str">
            <v>Otros</v>
          </cell>
          <cell r="C27">
            <v>1</v>
          </cell>
        </row>
      </sheetData>
      <sheetData sheetId="2" refreshError="1"/>
      <sheetData sheetId="3">
        <row r="19">
          <cell r="E19">
            <v>2016</v>
          </cell>
          <cell r="F19">
            <v>312</v>
          </cell>
        </row>
        <row r="20">
          <cell r="E20">
            <v>2017</v>
          </cell>
          <cell r="F20">
            <v>95</v>
          </cell>
        </row>
        <row r="21">
          <cell r="E21">
            <v>2018</v>
          </cell>
          <cell r="F21">
            <v>303</v>
          </cell>
        </row>
        <row r="22">
          <cell r="E22">
            <v>2019</v>
          </cell>
          <cell r="F22">
            <v>343</v>
          </cell>
        </row>
        <row r="23">
          <cell r="E23">
            <v>2020</v>
          </cell>
          <cell r="F23">
            <v>276</v>
          </cell>
        </row>
        <row r="24">
          <cell r="E24">
            <v>2021</v>
          </cell>
          <cell r="F24">
            <v>113</v>
          </cell>
        </row>
        <row r="25">
          <cell r="E25">
            <v>2022</v>
          </cell>
          <cell r="F25">
            <v>116</v>
          </cell>
        </row>
        <row r="26">
          <cell r="E26">
            <v>2023</v>
          </cell>
          <cell r="F26">
            <v>236</v>
          </cell>
        </row>
        <row r="27">
          <cell r="E27">
            <v>2024</v>
          </cell>
          <cell r="F27">
            <v>59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.MAD-2024"/>
      <sheetName val="EXPORT NO MADA-2024"/>
      <sheetName val="IMPORT. MAD-2024"/>
      <sheetName val="IMPORT- NO MAD-2024"/>
      <sheetName val="EXPORT FAUNA SILV- 2024"/>
      <sheetName val="IMPOR FAUNA SILV-2024"/>
    </sheetNames>
    <sheetDataSet>
      <sheetData sheetId="0" refreshError="1">
        <row r="11">
          <cell r="G11">
            <v>217810671.54000008</v>
          </cell>
        </row>
      </sheetData>
      <sheetData sheetId="1" refreshError="1">
        <row r="11">
          <cell r="G11">
            <v>249109654.79999998</v>
          </cell>
        </row>
      </sheetData>
      <sheetData sheetId="2" refreshError="1">
        <row r="13">
          <cell r="G13">
            <v>1144289774.0299997</v>
          </cell>
        </row>
      </sheetData>
      <sheetData sheetId="3" refreshError="1">
        <row r="10">
          <cell r="H10">
            <v>51085835.210000001</v>
          </cell>
        </row>
      </sheetData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COMERCIAL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ZA COMERCIAL 2024"/>
    </sheetNames>
    <sheetDataSet>
      <sheetData sheetId="0">
        <row r="7">
          <cell r="C7">
            <v>466920326.34000003</v>
          </cell>
        </row>
        <row r="12">
          <cell r="C12">
            <v>1195375609.2399998</v>
          </cell>
        </row>
        <row r="17">
          <cell r="C17">
            <v>-728455282.89999974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QUIDEA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ACION MA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1"/>
  <sheetViews>
    <sheetView showGridLines="0" topLeftCell="A25" zoomScale="80" zoomScaleNormal="80" workbookViewId="0">
      <selection activeCell="N56" sqref="N56"/>
    </sheetView>
  </sheetViews>
  <sheetFormatPr baseColWidth="10" defaultColWidth="14.42578125" defaultRowHeight="15" customHeight="1" x14ac:dyDescent="0.25"/>
  <cols>
    <col min="1" max="1" width="4.28515625" customWidth="1"/>
    <col min="2" max="3" width="4.140625" customWidth="1"/>
    <col min="4" max="4" width="5.7109375" customWidth="1"/>
    <col min="5" max="12" width="11.42578125" customWidth="1"/>
    <col min="13" max="13" width="27.42578125" customWidth="1"/>
    <col min="14" max="14" width="11.42578125" style="14" customWidth="1"/>
    <col min="15" max="26" width="10.7109375" customWidth="1"/>
  </cols>
  <sheetData>
    <row r="2" spans="2:14" ht="23.25" x14ac:dyDescent="0.35">
      <c r="B2" s="244" t="s">
        <v>634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4" ht="15.75" x14ac:dyDescent="0.25">
      <c r="B4" s="3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4" ht="15.75" x14ac:dyDescent="0.25"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4" ht="15.75" x14ac:dyDescent="0.25"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45" t="s">
        <v>1</v>
      </c>
    </row>
    <row r="7" spans="2:14" x14ac:dyDescent="0.25">
      <c r="B7" s="4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4" x14ac:dyDescent="0.25">
      <c r="B8" s="1"/>
      <c r="C8" s="1" t="s">
        <v>3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x14ac:dyDescent="0.25">
      <c r="B9" s="1"/>
      <c r="C9" s="1"/>
      <c r="D9" s="1" t="s">
        <v>4</v>
      </c>
      <c r="E9" s="1"/>
      <c r="F9" s="1"/>
      <c r="G9" s="1"/>
      <c r="H9" s="1"/>
      <c r="I9" s="1"/>
      <c r="J9" s="1"/>
      <c r="K9" s="1"/>
      <c r="L9" s="1"/>
      <c r="M9" s="1"/>
      <c r="N9" s="146" t="s">
        <v>5</v>
      </c>
    </row>
    <row r="10" spans="2:14" x14ac:dyDescent="0.25">
      <c r="B10" s="1"/>
      <c r="C10" s="1"/>
      <c r="D10" s="1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47" t="s">
        <v>624</v>
      </c>
    </row>
    <row r="11" spans="2:14" x14ac:dyDescent="0.25">
      <c r="B11" s="4"/>
      <c r="C11" s="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4" x14ac:dyDescent="0.25">
      <c r="B12" s="1"/>
      <c r="C12" s="1"/>
      <c r="D12" s="1" t="s">
        <v>8</v>
      </c>
      <c r="E12" s="1"/>
      <c r="F12" s="1"/>
      <c r="G12" s="1"/>
      <c r="H12" s="1"/>
      <c r="I12" s="1"/>
      <c r="J12" s="1"/>
      <c r="K12" s="1"/>
      <c r="L12" s="1"/>
      <c r="M12" s="1"/>
      <c r="N12" s="146" t="s">
        <v>9</v>
      </c>
    </row>
    <row r="13" spans="2:14" x14ac:dyDescent="0.25">
      <c r="B13" s="1"/>
      <c r="C13" s="1"/>
      <c r="D13" s="1" t="s">
        <v>10</v>
      </c>
      <c r="E13" s="1"/>
      <c r="F13" s="1"/>
      <c r="G13" s="1"/>
      <c r="H13" s="1"/>
      <c r="I13" s="1"/>
      <c r="J13" s="1"/>
      <c r="K13" s="1"/>
      <c r="L13" s="1"/>
      <c r="M13" s="1"/>
      <c r="N13" s="146" t="s">
        <v>11</v>
      </c>
    </row>
    <row r="14" spans="2:14" x14ac:dyDescent="0.25">
      <c r="B14" s="1"/>
      <c r="C14" s="1"/>
      <c r="D14" s="1" t="s">
        <v>12</v>
      </c>
      <c r="E14" s="1"/>
      <c r="F14" s="1"/>
      <c r="G14" s="1"/>
      <c r="H14" s="1"/>
      <c r="I14" s="1"/>
      <c r="J14" s="1"/>
      <c r="K14" s="1"/>
      <c r="L14" s="1"/>
      <c r="M14" s="1"/>
      <c r="N14" s="146" t="s">
        <v>13</v>
      </c>
    </row>
    <row r="15" spans="2:14" x14ac:dyDescent="0.25">
      <c r="B15" s="1"/>
      <c r="C15" s="1"/>
      <c r="D15" s="1" t="s">
        <v>682</v>
      </c>
      <c r="E15" s="1"/>
      <c r="F15" s="1"/>
      <c r="G15" s="1"/>
      <c r="H15" s="1"/>
      <c r="I15" s="1"/>
      <c r="J15" s="1"/>
      <c r="K15" s="1"/>
      <c r="L15" s="1"/>
      <c r="M15" s="1"/>
      <c r="N15" s="804" t="s">
        <v>2370</v>
      </c>
    </row>
    <row r="16" spans="2:14" x14ac:dyDescent="0.25">
      <c r="B16" s="1"/>
      <c r="C16" s="1"/>
      <c r="D16" s="1" t="s">
        <v>686</v>
      </c>
      <c r="E16" s="1"/>
      <c r="F16" s="1"/>
      <c r="G16" s="1"/>
      <c r="H16" s="1"/>
      <c r="I16" s="1"/>
      <c r="J16" s="1"/>
      <c r="K16" s="1"/>
      <c r="L16" s="1"/>
      <c r="M16" s="1"/>
      <c r="N16" s="804" t="s">
        <v>2369</v>
      </c>
    </row>
    <row r="17" spans="2:14" x14ac:dyDescent="0.25">
      <c r="B17" s="1"/>
      <c r="C17" s="1"/>
      <c r="D17" s="1" t="s">
        <v>714</v>
      </c>
      <c r="E17" s="1"/>
      <c r="F17" s="1"/>
      <c r="G17" s="1"/>
      <c r="H17" s="1"/>
      <c r="I17" s="1"/>
      <c r="J17" s="1"/>
      <c r="K17" s="1"/>
      <c r="L17" s="1"/>
      <c r="M17" s="1"/>
      <c r="N17" s="805" t="s">
        <v>2371</v>
      </c>
    </row>
    <row r="18" spans="2:14" x14ac:dyDescent="0.25">
      <c r="B18" s="1"/>
      <c r="C18" s="1"/>
      <c r="D18" s="1" t="s">
        <v>764</v>
      </c>
      <c r="E18" s="1"/>
      <c r="F18" s="1"/>
      <c r="G18" s="1"/>
      <c r="H18" s="1"/>
      <c r="I18" s="1"/>
      <c r="J18" s="1"/>
      <c r="K18" s="1"/>
      <c r="L18" s="1"/>
      <c r="M18" s="1"/>
      <c r="N18" s="805" t="s">
        <v>2372</v>
      </c>
    </row>
    <row r="19" spans="2:14" ht="15.75" customHeight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4" ht="15.75" customHeight="1" x14ac:dyDescent="0.25">
      <c r="B20" s="4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4" ht="15.75" customHeight="1" x14ac:dyDescent="0.25">
      <c r="B21" s="1"/>
      <c r="C21" s="1" t="s">
        <v>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805" t="s">
        <v>2373</v>
      </c>
    </row>
    <row r="22" spans="2:14" ht="15.75" customHeight="1" x14ac:dyDescent="0.25">
      <c r="B22" s="1"/>
      <c r="C22" s="1" t="s">
        <v>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805" t="s">
        <v>2374</v>
      </c>
    </row>
    <row r="23" spans="2:14" ht="15.75" customHeight="1" x14ac:dyDescent="0.25">
      <c r="B23" s="1"/>
      <c r="C23" s="1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804" t="s">
        <v>2375</v>
      </c>
    </row>
    <row r="24" spans="2:14" ht="15.75" customHeight="1" x14ac:dyDescent="0.25">
      <c r="B24" s="1"/>
      <c r="C24" s="1" t="s">
        <v>18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805" t="s">
        <v>2376</v>
      </c>
    </row>
    <row r="25" spans="2:14" ht="15.75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4" ht="15.75" customHeight="1" x14ac:dyDescent="0.25">
      <c r="B26" s="4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4" ht="15.75" customHeight="1" x14ac:dyDescent="0.25">
      <c r="B27" s="1"/>
      <c r="C27" s="1" t="s">
        <v>20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4" ht="15.75" customHeight="1" x14ac:dyDescent="0.25">
      <c r="B28" s="1"/>
      <c r="C28" s="1"/>
      <c r="D28" s="1" t="s">
        <v>21</v>
      </c>
      <c r="E28" s="1"/>
      <c r="F28" s="1"/>
      <c r="G28" s="1"/>
      <c r="H28" s="1"/>
      <c r="I28" s="1"/>
      <c r="J28" s="1"/>
      <c r="K28" s="1"/>
      <c r="L28" s="1"/>
      <c r="M28" s="1"/>
      <c r="N28" s="805" t="s">
        <v>2377</v>
      </c>
    </row>
    <row r="29" spans="2:14" ht="15.75" customHeight="1" x14ac:dyDescent="0.25">
      <c r="B29" s="1"/>
      <c r="C29" s="1"/>
      <c r="D29" s="1" t="s">
        <v>22</v>
      </c>
      <c r="E29" s="1"/>
      <c r="F29" s="1"/>
      <c r="G29" s="1"/>
      <c r="H29" s="1"/>
      <c r="I29" s="1"/>
      <c r="J29" s="1"/>
      <c r="K29" s="1"/>
      <c r="L29" s="1"/>
      <c r="M29" s="1"/>
    </row>
    <row r="30" spans="2:14" ht="15.75" customHeight="1" x14ac:dyDescent="0.25">
      <c r="B30" s="1"/>
      <c r="C30" s="1"/>
      <c r="D30" s="1"/>
      <c r="E30" s="1" t="s">
        <v>23</v>
      </c>
      <c r="F30" s="1"/>
      <c r="G30" s="1"/>
      <c r="H30" s="1"/>
      <c r="I30" s="1"/>
      <c r="J30" s="1"/>
      <c r="K30" s="1"/>
      <c r="L30" s="1"/>
      <c r="M30" s="1"/>
      <c r="N30" s="805" t="s">
        <v>2378</v>
      </c>
    </row>
    <row r="31" spans="2:14" ht="15.75" customHeight="1" x14ac:dyDescent="0.25">
      <c r="B31" s="1"/>
      <c r="C31" s="1"/>
      <c r="D31" s="1"/>
      <c r="E31" s="1" t="s">
        <v>24</v>
      </c>
      <c r="F31" s="1"/>
      <c r="G31" s="1"/>
      <c r="H31" s="1"/>
      <c r="I31" s="1"/>
      <c r="J31" s="1"/>
      <c r="K31" s="1"/>
      <c r="L31" s="1"/>
      <c r="M31" s="1"/>
      <c r="N31" s="804" t="s">
        <v>2379</v>
      </c>
    </row>
    <row r="32" spans="2:14" ht="15.75" customHeight="1" x14ac:dyDescent="0.25">
      <c r="B32" s="1"/>
      <c r="C32" s="1"/>
      <c r="D32" s="1"/>
      <c r="E32" s="1" t="s">
        <v>25</v>
      </c>
      <c r="F32" s="1"/>
      <c r="G32" s="1"/>
      <c r="H32" s="1"/>
      <c r="I32" s="1"/>
      <c r="J32" s="1"/>
      <c r="K32" s="1"/>
      <c r="L32" s="1"/>
      <c r="M32" s="1"/>
      <c r="N32" s="804" t="s">
        <v>2380</v>
      </c>
    </row>
    <row r="33" spans="2:15" ht="15.75" customHeight="1" x14ac:dyDescent="0.25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  <c r="M33" s="1"/>
      <c r="N33" s="804" t="s">
        <v>2381</v>
      </c>
    </row>
    <row r="34" spans="2:15" ht="15.75" customHeight="1" x14ac:dyDescent="0.25">
      <c r="B34" s="1"/>
      <c r="C34" s="1"/>
      <c r="D34" s="1" t="s">
        <v>27</v>
      </c>
      <c r="E34" s="1"/>
      <c r="F34" s="1"/>
      <c r="G34" s="1"/>
      <c r="H34" s="1"/>
      <c r="I34" s="1"/>
      <c r="J34" s="1"/>
      <c r="K34" s="1"/>
      <c r="L34" s="1"/>
      <c r="M34" s="1"/>
    </row>
    <row r="35" spans="2:15" ht="15.75" customHeight="1" x14ac:dyDescent="0.25">
      <c r="B35" s="1"/>
      <c r="C35" s="1"/>
      <c r="D35" s="1"/>
      <c r="E35" s="1" t="s">
        <v>28</v>
      </c>
      <c r="F35" s="1"/>
      <c r="G35" s="1"/>
      <c r="H35" s="1"/>
      <c r="I35" s="1"/>
      <c r="J35" s="1"/>
      <c r="K35" s="1"/>
      <c r="L35" s="1"/>
      <c r="M35" s="1"/>
      <c r="N35" s="806" t="s">
        <v>2382</v>
      </c>
    </row>
    <row r="36" spans="2:15" ht="15.75" customHeight="1" x14ac:dyDescent="0.25">
      <c r="B36" s="1"/>
      <c r="C36" s="1"/>
      <c r="D36" s="1"/>
      <c r="E36" s="1" t="s">
        <v>29</v>
      </c>
      <c r="F36" s="1"/>
      <c r="G36" s="1"/>
      <c r="H36" s="1"/>
      <c r="I36" s="1"/>
      <c r="J36" s="1"/>
      <c r="K36" s="1"/>
      <c r="L36" s="1"/>
      <c r="M36" s="1"/>
      <c r="N36" s="806" t="s">
        <v>2383</v>
      </c>
    </row>
    <row r="37" spans="2:15" ht="15.75" customHeight="1" x14ac:dyDescent="0.25">
      <c r="B37" s="1"/>
      <c r="C37" s="1" t="s">
        <v>30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805" t="s">
        <v>2384</v>
      </c>
    </row>
    <row r="38" spans="2:15" ht="15.7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5" ht="15.75" customHeight="1" x14ac:dyDescent="0.25">
      <c r="B39" s="4" t="s">
        <v>31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5" ht="15.75" customHeight="1" x14ac:dyDescent="0.25">
      <c r="B40" s="1"/>
      <c r="C40" s="1" t="s">
        <v>32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805" t="s">
        <v>2385</v>
      </c>
    </row>
    <row r="41" spans="2:15" ht="15.75" customHeight="1" x14ac:dyDescent="0.25">
      <c r="B41" s="1"/>
      <c r="C41" s="1" t="s">
        <v>33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805" t="s">
        <v>2386</v>
      </c>
    </row>
    <row r="42" spans="2:15" ht="15.75" customHeight="1" x14ac:dyDescent="0.25">
      <c r="B42" s="1"/>
      <c r="C42" s="1" t="s">
        <v>34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804" t="s">
        <v>2387</v>
      </c>
    </row>
    <row r="43" spans="2:15" ht="15.7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5" ht="15.75" customHeight="1" x14ac:dyDescent="0.25">
      <c r="B44" s="4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5" x14ac:dyDescent="0.25">
      <c r="B45" s="1"/>
      <c r="C45" s="1" t="s">
        <v>36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201"/>
      <c r="O45" s="1"/>
    </row>
    <row r="46" spans="2:15" x14ac:dyDescent="0.25">
      <c r="B46" s="1"/>
      <c r="C46" s="1"/>
      <c r="D46" s="1" t="s">
        <v>37</v>
      </c>
      <c r="E46" s="1"/>
      <c r="F46" s="1"/>
      <c r="G46" s="1"/>
      <c r="H46" s="1"/>
      <c r="I46" s="1"/>
      <c r="J46" s="1"/>
      <c r="K46" s="1"/>
      <c r="L46" s="1"/>
      <c r="M46" s="1"/>
      <c r="N46" s="805" t="s">
        <v>2388</v>
      </c>
      <c r="O46" s="1"/>
    </row>
    <row r="47" spans="2:15" x14ac:dyDescent="0.25">
      <c r="B47" s="1"/>
      <c r="C47" s="1"/>
      <c r="D47" s="1" t="s">
        <v>38</v>
      </c>
      <c r="E47" s="1"/>
      <c r="F47" s="1"/>
      <c r="G47" s="1"/>
      <c r="H47" s="1"/>
      <c r="I47" s="1"/>
      <c r="J47" s="1"/>
      <c r="K47" s="1"/>
      <c r="L47" s="1"/>
      <c r="M47" s="1"/>
      <c r="N47" s="805" t="s">
        <v>2389</v>
      </c>
      <c r="O47" s="1"/>
    </row>
    <row r="48" spans="2:15" x14ac:dyDescent="0.25">
      <c r="B48" s="1"/>
      <c r="C48" s="1" t="s">
        <v>39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201"/>
      <c r="O48" s="1"/>
    </row>
    <row r="49" spans="2:15" x14ac:dyDescent="0.25">
      <c r="B49" s="1"/>
      <c r="C49" s="1"/>
      <c r="D49" s="1" t="s">
        <v>40</v>
      </c>
      <c r="E49" s="1"/>
      <c r="F49" s="1"/>
      <c r="G49" s="1"/>
      <c r="H49" s="1"/>
      <c r="I49" s="1"/>
      <c r="J49" s="1"/>
      <c r="K49" s="1"/>
      <c r="L49" s="1"/>
      <c r="M49" s="1"/>
      <c r="N49" s="805" t="s">
        <v>2390</v>
      </c>
      <c r="O49" s="1"/>
    </row>
    <row r="50" spans="2:15" x14ac:dyDescent="0.25">
      <c r="B50" s="1"/>
      <c r="C50" s="1"/>
      <c r="D50" s="1" t="s">
        <v>41</v>
      </c>
      <c r="E50" s="1"/>
      <c r="F50" s="1"/>
      <c r="G50" s="1"/>
      <c r="H50" s="1"/>
      <c r="I50" s="1"/>
      <c r="J50" s="1"/>
      <c r="K50" s="1"/>
      <c r="L50" s="1"/>
      <c r="M50" s="1"/>
      <c r="N50" s="805" t="s">
        <v>2391</v>
      </c>
      <c r="O50" s="1"/>
    </row>
    <row r="51" spans="2:15" x14ac:dyDescent="0.25">
      <c r="B51" s="1"/>
      <c r="C51" s="1" t="s">
        <v>42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805" t="s">
        <v>2392</v>
      </c>
      <c r="O51" s="1"/>
    </row>
    <row r="52" spans="2:15" x14ac:dyDescent="0.25">
      <c r="B52" s="1"/>
      <c r="C52" s="1" t="s">
        <v>601</v>
      </c>
      <c r="D52" s="235"/>
      <c r="E52" s="1"/>
      <c r="F52" s="1"/>
      <c r="G52" s="1"/>
      <c r="H52" s="1"/>
      <c r="I52" s="1"/>
      <c r="J52" s="1"/>
      <c r="K52" s="1"/>
      <c r="L52" s="1"/>
      <c r="M52" s="1"/>
      <c r="N52" s="805" t="s">
        <v>2393</v>
      </c>
      <c r="O52" s="1"/>
    </row>
    <row r="53" spans="2:15" ht="15.75" customHeight="1" x14ac:dyDescent="0.25">
      <c r="B53" s="1"/>
      <c r="C53" s="1" t="s">
        <v>600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5" ht="15.75" customHeight="1" x14ac:dyDescent="0.25">
      <c r="B54" s="1"/>
      <c r="C54" s="1"/>
      <c r="D54" s="1" t="s">
        <v>2281</v>
      </c>
      <c r="E54" s="1"/>
      <c r="F54" s="1"/>
      <c r="G54" s="1"/>
      <c r="H54" s="1"/>
      <c r="I54" s="1"/>
      <c r="J54" s="1"/>
      <c r="K54" s="1"/>
      <c r="L54" s="1"/>
      <c r="M54" s="1"/>
      <c r="N54" s="804" t="s">
        <v>2394</v>
      </c>
    </row>
    <row r="55" spans="2:15" ht="15.75" customHeight="1" x14ac:dyDescent="0.25">
      <c r="B55" s="1"/>
      <c r="C55" s="1"/>
      <c r="D55" s="1" t="s">
        <v>2320</v>
      </c>
      <c r="E55" s="1"/>
      <c r="F55" s="1"/>
      <c r="G55" s="1"/>
      <c r="H55" s="1"/>
      <c r="I55" s="1"/>
      <c r="J55" s="1"/>
      <c r="K55" s="1"/>
      <c r="L55" s="1"/>
      <c r="M55" s="1"/>
      <c r="N55" s="805" t="s">
        <v>2395</v>
      </c>
    </row>
    <row r="56" spans="2:15" ht="15.75" customHeight="1" x14ac:dyDescent="0.25">
      <c r="B56" s="1"/>
      <c r="C56" s="1"/>
      <c r="D56" s="1" t="s">
        <v>2328</v>
      </c>
      <c r="E56" s="1"/>
      <c r="F56" s="1"/>
      <c r="G56" s="1"/>
      <c r="H56" s="1"/>
      <c r="I56" s="1"/>
      <c r="J56" s="1"/>
      <c r="K56" s="1"/>
      <c r="L56" s="1"/>
      <c r="M56" s="1"/>
      <c r="N56" s="805" t="s">
        <v>2396</v>
      </c>
    </row>
    <row r="57" spans="2:15" ht="15.75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5" ht="15.75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5" ht="15.75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5" ht="15.75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46"/>
    </row>
    <row r="61" spans="2:15" ht="15.75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46"/>
    </row>
  </sheetData>
  <hyperlinks>
    <hyperlink ref="N9" location="'Tabla1-4 TH'!B7" display="'Tabla1-4 TH'!B7" xr:uid="{00000000-0004-0000-0000-000000000000}"/>
    <hyperlink ref="N10" location="'Tabla1-4 TH'!B37" display="'Tabla1-4 TH'!B37" xr:uid="{00000000-0004-0000-0000-000001000000}"/>
    <hyperlink ref="N12" location="'Tabla5-6_LicenciasCD'!A1" display="'Tabla5-6_LicenciasCD'!A1" xr:uid="{00000000-0004-0000-0000-000002000000}"/>
    <hyperlink ref="N13" location="'Tabla7-9_AutCD'!A1" display="'Tabla7-9_AutCD'!A1" xr:uid="{00000000-0004-0000-0000-000003000000}"/>
    <hyperlink ref="N14" location="'Tabla10-11_AutInvest'!A1" display="'Tabla10-11_AutInvest'!A1" xr:uid="{00000000-0004-0000-0000-000004000000}"/>
    <hyperlink ref="N15" location="Tabla12_CTP!_Toc155600080" display="Tabla12_CTP!_" xr:uid="{00000000-0004-0000-0000-000006000000}"/>
    <hyperlink ref="N16" location="Tabla13_Depósitos!_Toc155600081" display="Tabla13_Depósitos!A1" xr:uid="{00000000-0004-0000-0000-000007000000}"/>
    <hyperlink ref="N17" location="'Tabla14-16_Transferencias'!A1" display="Tabla14-16_Transferencias'!A1" xr:uid="{00000000-0004-0000-0000-000008000000}"/>
    <hyperlink ref="N18" location="'Tabla17-20_PAS Fauna'!_Toc155600082" display="Tabla17-20_PAS Fauna'!A1" xr:uid="{00000000-0004-0000-0000-00000A000000}"/>
    <hyperlink ref="N21" location="'Tabla21-23_Plantaciones'!_Toc155600084" display="Tabla21-23_Plantaciones'!A1" xr:uid="{00000000-0004-0000-0000-00000B000000}"/>
    <hyperlink ref="N22" location="Tabla24_Regentes!A1" display="Tabla24_Regentes" xr:uid="{00000000-0004-0000-0000-00000C000000}"/>
    <hyperlink ref="N23" location="Tabla25_RNI!A1" display="Tabla25_RNI!A1" xr:uid="{00000000-0004-0000-0000-00000D000000}"/>
    <hyperlink ref="N24" location="'Tabla26_Centros de propagacion'!A1" display="Tabla26_Centros de propagacion'!A1" xr:uid="{00000000-0004-0000-0000-00000E000000}"/>
    <hyperlink ref="N28" location="'Tabla27-28_ProdMadRoll'!A1" display="Tabla27-28_ProdMadRoll'!A1" xr:uid="{00000000-0004-0000-0000-00000F000000}"/>
    <hyperlink ref="N30" location="'Tabla29-30_ProdMadAs'!A1" display="Tabla29-30_ProdMadAs'!A1" xr:uid="{00000000-0004-0000-0000-000010000000}"/>
    <hyperlink ref="N31" location="Tabla31_Durmientes!A1" display="Tabla31_Durmientes!A1" xr:uid="{00000000-0004-0000-0000-000011000000}"/>
    <hyperlink ref="N32" location="Tabla32_Parquet!A1" display="Tabla32_Parquet!A1" xr:uid="{00000000-0004-0000-0000-000012000000}"/>
    <hyperlink ref="N33" location="Tabla33_MadLaminada!A1" display="Tabla33_MadLaminada!A1" xr:uid="{00000000-0004-0000-0000-000013000000}"/>
    <hyperlink ref="N37" location="'Tabla36-37_PFDM'!A1" display="Tabla36-37_PFDM'!A1" xr:uid="{00000000-0004-0000-0000-000016000000}"/>
    <hyperlink ref="N40" location="'Tabla38-39_DEMA CSS'!A1" display="Tabla38-39_DEMA CSS'!A1" xr:uid="{00000000-0004-0000-0000-000017000000}"/>
    <hyperlink ref="N41" location="'Tabla40-44_CapturayEsquila'!A1" display="'Tabla40-44_CapturayEsquila'!A1" xr:uid="{00000000-0004-0000-0000-000018000000}"/>
    <hyperlink ref="N42" location="Tabla45_CazaFurtiva!A1" display="Tabla45_CazaFurtiva!A1" xr:uid="{00000000-0004-0000-0000-000019000000}"/>
    <hyperlink ref="N35" location="Tabla34_Leña!A1" display="Tabla34_Leña!A1" xr:uid="{85BD260A-A17C-470B-B558-6B28B2EB4BD2}"/>
    <hyperlink ref="N36" location="Tabla35_Carbón!A1" display="Tabla35_Carbón!A1" xr:uid="{5D26512E-E43E-4D7F-9C62-FA83C1FE6513}"/>
    <hyperlink ref="N56" location="'Tabla61-64_ExportCITES_PFDM'!A1" display="Tabla61-64_ExportCITES_PFDM" xr:uid="{63253D5F-2670-4D06-BCCB-BA4FBC48CEC6}"/>
    <hyperlink ref="N55" location="Tabla60_ExportCITES_Mad!A1" display="Tabla60_ExportCITES_Mad" xr:uid="{4270E16D-AE47-4C6E-A23C-743FA3D6C2E3}"/>
    <hyperlink ref="N54" location="'Tabla57-59_ExportCITES_vicuña'!A1" display="Tabla57-59_ExportCITES_vicuña" xr:uid="{28C1F6E4-26BF-41AB-9293-7849C2B077E1}"/>
    <hyperlink ref="N52" location="Tabla55_56ExportaciónFauna!A1" display="Tabla55_56ExportaciónFauna!A1" xr:uid="{3746B0D9-9542-4F8A-97A8-C1BF1F662761}"/>
    <hyperlink ref="N51" location="'Tabla54_BALANZA COMERCIAL'!A1" display="Tabla54_BALANZA COMERCIAL'!A1" xr:uid="{BF7A61B2-74F3-4F90-988E-B69B7F9D4824}"/>
    <hyperlink ref="N50" location="'Tabla52-53_ImportacionPFDM'!A1" display="Tabla52-53_ImportacionPFDM'!A1" xr:uid="{2771AB42-6981-4EC4-B7E5-22BEC9622E92}"/>
    <hyperlink ref="N49" location="'Tabla50-51_ExportaciónPFDM'!A1" display="Tabla50-51_ExportaciónPFDM'!A1" xr:uid="{FFC0FED9-59ED-466A-A727-FC49C9DDD4E1}"/>
    <hyperlink ref="N47" location="'Tabla48-49_ImportaciónForMad'!A1" display="Tabla48-49_ImportaciónForMad'!A1" xr:uid="{E8B1DA95-2337-4CEC-942C-C3C1E5000553}"/>
    <hyperlink ref="N46" location="'Tabla46-47_Exportación_FoMad'!A1" display="Tabla46-47_Exportación_FoMad'!A1" xr:uid="{0514C5D3-9926-40DA-92EB-D5A09FC5E40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8B0D4"/>
  </sheetPr>
  <dimension ref="A1:X72"/>
  <sheetViews>
    <sheetView showGridLines="0" topLeftCell="A52" zoomScale="90" zoomScaleNormal="90" workbookViewId="0">
      <selection activeCell="G31" sqref="G31"/>
    </sheetView>
  </sheetViews>
  <sheetFormatPr baseColWidth="10" defaultColWidth="14.42578125" defaultRowHeight="15" customHeight="1" x14ac:dyDescent="0.25"/>
  <cols>
    <col min="1" max="1" width="4.28515625" customWidth="1"/>
    <col min="2" max="2" width="22.7109375" customWidth="1"/>
    <col min="3" max="3" width="8.7109375" customWidth="1"/>
    <col min="4" max="4" width="17.140625" customWidth="1"/>
    <col min="5" max="5" width="9.42578125" customWidth="1"/>
    <col min="6" max="6" width="12.5703125" customWidth="1"/>
    <col min="7" max="7" width="6.42578125" customWidth="1"/>
    <col min="8" max="8" width="14" customWidth="1"/>
    <col min="9" max="9" width="5.28515625" customWidth="1"/>
    <col min="10" max="10" width="14.85546875" customWidth="1"/>
    <col min="11" max="11" width="5.42578125" customWidth="1"/>
    <col min="12" max="12" width="14.85546875" customWidth="1"/>
    <col min="13" max="13" width="9.140625" customWidth="1"/>
    <col min="14" max="14" width="9.5703125" customWidth="1"/>
    <col min="15" max="19" width="9.140625" customWidth="1"/>
    <col min="20" max="20" width="12" customWidth="1"/>
    <col min="21" max="23" width="9.140625" customWidth="1"/>
    <col min="24" max="24" width="13.28515625" customWidth="1"/>
    <col min="25" max="28" width="9.140625" customWidth="1"/>
  </cols>
  <sheetData>
    <row r="1" spans="1:12" ht="12.75" customHeight="1" x14ac:dyDescent="0.25">
      <c r="A1" s="78" t="s">
        <v>43</v>
      </c>
      <c r="B1" s="6"/>
      <c r="C1" s="6"/>
      <c r="D1" s="6"/>
      <c r="E1" s="7"/>
      <c r="F1" s="6"/>
      <c r="G1" s="7"/>
      <c r="H1" s="7"/>
      <c r="I1" s="7"/>
      <c r="J1" s="6"/>
      <c r="K1" s="6"/>
      <c r="L1" s="6"/>
    </row>
    <row r="2" spans="1:12" ht="12.75" customHeight="1" x14ac:dyDescent="0.25">
      <c r="A2" s="8"/>
      <c r="B2" s="6"/>
      <c r="C2" s="6"/>
      <c r="D2" s="6"/>
      <c r="E2" s="7"/>
      <c r="F2" s="6"/>
      <c r="G2" s="7"/>
      <c r="H2" s="7"/>
      <c r="I2" s="7"/>
      <c r="J2" s="6"/>
      <c r="K2" s="6"/>
      <c r="L2" s="6"/>
    </row>
    <row r="3" spans="1:12" ht="12.75" customHeight="1" x14ac:dyDescent="0.25">
      <c r="A3" s="3" t="s">
        <v>2</v>
      </c>
      <c r="B3" s="6"/>
      <c r="C3" s="1"/>
      <c r="D3" s="6"/>
      <c r="E3" s="7"/>
      <c r="F3" s="6"/>
      <c r="G3" s="7"/>
      <c r="H3" s="7"/>
      <c r="I3" s="7"/>
      <c r="J3" s="6"/>
      <c r="K3" s="6"/>
      <c r="L3" s="6"/>
    </row>
    <row r="4" spans="1:12" ht="12.75" customHeight="1" x14ac:dyDescent="0.25">
      <c r="A4" s="6"/>
      <c r="B4" s="4"/>
      <c r="C4" s="1"/>
      <c r="D4" s="6"/>
      <c r="E4" s="7"/>
      <c r="F4" s="6"/>
      <c r="G4" s="7"/>
      <c r="H4" s="7"/>
      <c r="I4" s="7"/>
      <c r="J4" s="6"/>
      <c r="K4" s="6"/>
      <c r="L4" s="6"/>
    </row>
    <row r="5" spans="1:12" ht="12.75" customHeight="1" x14ac:dyDescent="0.25">
      <c r="A5" s="6"/>
      <c r="B5" s="4" t="s">
        <v>3</v>
      </c>
      <c r="C5" s="6"/>
      <c r="D5" s="6"/>
      <c r="E5" s="7"/>
      <c r="F5" s="6"/>
      <c r="G5" s="7"/>
      <c r="H5" s="7"/>
      <c r="I5" s="7"/>
      <c r="J5" s="6"/>
      <c r="K5" s="6"/>
      <c r="L5" s="6"/>
    </row>
    <row r="6" spans="1:12" ht="12.75" customHeight="1" x14ac:dyDescent="0.25">
      <c r="A6" s="6"/>
      <c r="B6" s="6"/>
      <c r="C6" s="6"/>
      <c r="D6" s="6"/>
      <c r="E6" s="7"/>
      <c r="F6" s="6"/>
      <c r="G6" s="7"/>
      <c r="H6" s="7"/>
      <c r="I6" s="7"/>
      <c r="J6" s="6"/>
      <c r="K6" s="6"/>
      <c r="L6" s="6"/>
    </row>
    <row r="7" spans="1:12" ht="12.75" customHeight="1" x14ac:dyDescent="0.25">
      <c r="A7" s="6"/>
      <c r="B7" s="4" t="s">
        <v>4</v>
      </c>
      <c r="C7" s="6"/>
      <c r="D7" s="6"/>
      <c r="E7" s="7"/>
      <c r="F7" s="6"/>
      <c r="G7" s="7"/>
      <c r="H7" s="7"/>
      <c r="I7" s="7"/>
      <c r="J7" s="6"/>
      <c r="K7" s="6"/>
      <c r="L7" s="6"/>
    </row>
    <row r="8" spans="1:12" ht="7.5" customHeight="1" x14ac:dyDescent="0.25">
      <c r="A8" s="6"/>
      <c r="B8" s="6"/>
      <c r="C8" s="6"/>
      <c r="D8" s="6"/>
      <c r="E8" s="7"/>
      <c r="F8" s="6"/>
      <c r="G8" s="7"/>
      <c r="H8" s="7"/>
      <c r="I8" s="7"/>
      <c r="J8" s="6"/>
      <c r="K8" s="6"/>
      <c r="L8" s="6"/>
    </row>
    <row r="9" spans="1:12" ht="12.75" customHeight="1" x14ac:dyDescent="0.25">
      <c r="A9" s="6"/>
      <c r="B9" s="9" t="s">
        <v>629</v>
      </c>
      <c r="C9" s="9"/>
      <c r="D9" s="10"/>
      <c r="E9" s="9"/>
      <c r="F9" s="9"/>
      <c r="G9" s="9"/>
      <c r="H9" s="9"/>
      <c r="I9" s="9"/>
      <c r="J9" s="9"/>
      <c r="K9" s="9"/>
      <c r="L9" s="9"/>
    </row>
    <row r="10" spans="1:12" ht="21" customHeight="1" x14ac:dyDescent="0.25">
      <c r="A10" s="11"/>
      <c r="B10" s="323" t="s">
        <v>44</v>
      </c>
      <c r="C10" s="323" t="s">
        <v>46</v>
      </c>
      <c r="D10" s="323"/>
      <c r="E10" s="324" t="s">
        <v>48</v>
      </c>
      <c r="F10" s="324"/>
      <c r="G10" s="323" t="s">
        <v>47</v>
      </c>
      <c r="H10" s="323"/>
      <c r="I10" s="324" t="s">
        <v>628</v>
      </c>
      <c r="J10" s="324"/>
      <c r="K10" s="323" t="s">
        <v>45</v>
      </c>
      <c r="L10" s="323"/>
    </row>
    <row r="11" spans="1:12" ht="12.75" customHeight="1" x14ac:dyDescent="0.25">
      <c r="A11" s="11"/>
      <c r="B11" s="323"/>
      <c r="C11" s="325" t="s">
        <v>49</v>
      </c>
      <c r="D11" s="325" t="s">
        <v>238</v>
      </c>
      <c r="E11" s="325" t="s">
        <v>49</v>
      </c>
      <c r="F11" s="325" t="s">
        <v>238</v>
      </c>
      <c r="G11" s="325" t="s">
        <v>49</v>
      </c>
      <c r="H11" s="325" t="s">
        <v>238</v>
      </c>
      <c r="I11" s="325" t="s">
        <v>49</v>
      </c>
      <c r="J11" s="325" t="s">
        <v>238</v>
      </c>
      <c r="K11" s="325" t="s">
        <v>49</v>
      </c>
      <c r="L11" s="325" t="s">
        <v>238</v>
      </c>
    </row>
    <row r="12" spans="1:12" ht="15" customHeight="1" x14ac:dyDescent="0.25">
      <c r="A12" s="12"/>
      <c r="B12" s="313" t="s">
        <v>71</v>
      </c>
      <c r="C12" s="314"/>
      <c r="D12" s="315"/>
      <c r="E12" s="314">
        <v>4</v>
      </c>
      <c r="F12" s="315">
        <v>4901.57</v>
      </c>
      <c r="G12" s="314"/>
      <c r="H12" s="315"/>
      <c r="I12" s="314"/>
      <c r="J12" s="315"/>
      <c r="K12" s="316">
        <v>4</v>
      </c>
      <c r="L12" s="317">
        <v>4901.57</v>
      </c>
    </row>
    <row r="13" spans="1:12" ht="15" customHeight="1" x14ac:dyDescent="0.25">
      <c r="A13" s="12"/>
      <c r="B13" s="313" t="s">
        <v>50</v>
      </c>
      <c r="C13" s="314"/>
      <c r="D13" s="315"/>
      <c r="E13" s="314"/>
      <c r="F13" s="315"/>
      <c r="G13" s="314">
        <v>9</v>
      </c>
      <c r="H13" s="315">
        <v>60478.239999999998</v>
      </c>
      <c r="I13" s="314"/>
      <c r="J13" s="315"/>
      <c r="K13" s="316">
        <v>9</v>
      </c>
      <c r="L13" s="317">
        <v>60478.239999999998</v>
      </c>
    </row>
    <row r="14" spans="1:12" ht="15" customHeight="1" x14ac:dyDescent="0.25">
      <c r="A14" s="12"/>
      <c r="B14" s="313" t="s">
        <v>51</v>
      </c>
      <c r="C14" s="314">
        <v>2</v>
      </c>
      <c r="D14" s="315">
        <v>430.31</v>
      </c>
      <c r="E14" s="314">
        <v>1</v>
      </c>
      <c r="F14" s="315">
        <v>116.48</v>
      </c>
      <c r="G14" s="314"/>
      <c r="H14" s="315"/>
      <c r="I14" s="314">
        <v>2</v>
      </c>
      <c r="J14" s="315">
        <v>1658.11</v>
      </c>
      <c r="K14" s="316">
        <v>5</v>
      </c>
      <c r="L14" s="317">
        <v>2204.9</v>
      </c>
    </row>
    <row r="15" spans="1:12" ht="15" customHeight="1" x14ac:dyDescent="0.25">
      <c r="A15" s="12"/>
      <c r="B15" s="313" t="s">
        <v>52</v>
      </c>
      <c r="C15" s="314">
        <v>5</v>
      </c>
      <c r="D15" s="315">
        <v>9332.89</v>
      </c>
      <c r="E15" s="314"/>
      <c r="F15" s="315"/>
      <c r="G15" s="314"/>
      <c r="H15" s="315"/>
      <c r="I15" s="314"/>
      <c r="J15" s="315"/>
      <c r="K15" s="316">
        <v>5</v>
      </c>
      <c r="L15" s="317">
        <v>9332.89</v>
      </c>
    </row>
    <row r="16" spans="1:12" ht="12.75" customHeight="1" x14ac:dyDescent="0.25">
      <c r="B16" s="313" t="s">
        <v>244</v>
      </c>
      <c r="C16" s="314"/>
      <c r="D16" s="315"/>
      <c r="E16" s="314"/>
      <c r="F16" s="315"/>
      <c r="G16" s="314">
        <v>1</v>
      </c>
      <c r="H16" s="315">
        <v>9711.84</v>
      </c>
      <c r="I16" s="314"/>
      <c r="J16" s="315"/>
      <c r="K16" s="316">
        <v>1</v>
      </c>
      <c r="L16" s="317">
        <v>9711.84</v>
      </c>
    </row>
    <row r="17" spans="2:24" ht="12.75" customHeight="1" x14ac:dyDescent="0.25">
      <c r="B17" s="326" t="s">
        <v>45</v>
      </c>
      <c r="C17" s="327">
        <f>SUM(C12:C16)</f>
        <v>7</v>
      </c>
      <c r="D17" s="328">
        <f t="shared" ref="D17:L17" si="0">SUM(D12:D16)</f>
        <v>9763.1999999999989</v>
      </c>
      <c r="E17" s="327">
        <f t="shared" si="0"/>
        <v>5</v>
      </c>
      <c r="F17" s="328">
        <f t="shared" si="0"/>
        <v>5018.0499999999993</v>
      </c>
      <c r="G17" s="327">
        <f t="shared" si="0"/>
        <v>10</v>
      </c>
      <c r="H17" s="328">
        <f t="shared" si="0"/>
        <v>70190.080000000002</v>
      </c>
      <c r="I17" s="327">
        <f t="shared" si="0"/>
        <v>2</v>
      </c>
      <c r="J17" s="328">
        <f t="shared" si="0"/>
        <v>1658.11</v>
      </c>
      <c r="K17" s="327">
        <f t="shared" si="0"/>
        <v>24</v>
      </c>
      <c r="L17" s="328">
        <f t="shared" si="0"/>
        <v>86629.439999999988</v>
      </c>
    </row>
    <row r="18" spans="2:24" ht="12.75" customHeight="1" x14ac:dyDescent="0.25">
      <c r="B18" s="13" t="s">
        <v>53</v>
      </c>
      <c r="C18" s="6"/>
      <c r="D18" s="6"/>
      <c r="E18" s="7"/>
      <c r="F18" s="6"/>
      <c r="G18" s="7"/>
      <c r="H18" s="7"/>
      <c r="I18" s="7"/>
      <c r="L18" s="6"/>
      <c r="N18" s="252"/>
      <c r="O18" s="253"/>
      <c r="P18" s="253"/>
      <c r="Q18" s="253"/>
      <c r="R18" s="254"/>
      <c r="S18" s="253"/>
      <c r="T18" s="254"/>
      <c r="U18" s="253"/>
      <c r="V18" s="254"/>
      <c r="W18" s="253"/>
      <c r="X18" s="254"/>
    </row>
    <row r="19" spans="2:24" ht="12.75" customHeight="1" x14ac:dyDescent="0.25">
      <c r="F19" s="6"/>
      <c r="G19" s="7"/>
      <c r="H19" s="7"/>
      <c r="I19" s="7"/>
      <c r="L19" s="6"/>
      <c r="N19" s="252"/>
      <c r="O19" s="253"/>
      <c r="P19" s="253"/>
      <c r="Q19" s="253"/>
      <c r="R19" s="254"/>
      <c r="S19" s="253"/>
      <c r="T19" s="254"/>
      <c r="U19" s="253"/>
      <c r="V19" s="254"/>
      <c r="W19" s="253"/>
      <c r="X19" s="254"/>
    </row>
    <row r="20" spans="2:24" ht="12.75" customHeight="1" x14ac:dyDescent="0.25">
      <c r="B20" s="6"/>
      <c r="C20" s="6"/>
      <c r="D20" s="6"/>
      <c r="E20" s="7"/>
      <c r="F20" s="6"/>
      <c r="G20" s="7"/>
      <c r="H20" s="7"/>
      <c r="I20" s="7"/>
      <c r="L20" s="6"/>
    </row>
    <row r="21" spans="2:24" ht="12.75" customHeight="1" x14ac:dyDescent="0.25">
      <c r="B21" s="15" t="s">
        <v>630</v>
      </c>
      <c r="C21" s="16"/>
      <c r="D21" s="16"/>
      <c r="E21" s="7"/>
      <c r="F21" s="6"/>
      <c r="G21" s="7"/>
      <c r="H21" s="238"/>
      <c r="I21" s="7"/>
      <c r="L21" s="6"/>
    </row>
    <row r="22" spans="2:24" ht="15" customHeight="1" x14ac:dyDescent="0.25">
      <c r="B22" s="255" t="s">
        <v>44</v>
      </c>
      <c r="C22" s="255" t="s">
        <v>49</v>
      </c>
      <c r="D22" s="255" t="s">
        <v>238</v>
      </c>
      <c r="E22" s="7"/>
      <c r="I22" s="7"/>
      <c r="L22" s="6"/>
    </row>
    <row r="23" spans="2:24" ht="15" customHeight="1" x14ac:dyDescent="0.25">
      <c r="B23" s="307" t="s">
        <v>51</v>
      </c>
      <c r="C23" s="308">
        <v>1473</v>
      </c>
      <c r="D23" s="309">
        <v>2285908.81</v>
      </c>
      <c r="E23" s="7"/>
      <c r="I23" s="7"/>
      <c r="L23" s="6"/>
    </row>
    <row r="24" spans="2:24" ht="15" customHeight="1" x14ac:dyDescent="0.25">
      <c r="B24" s="307" t="s">
        <v>50</v>
      </c>
      <c r="C24" s="310">
        <v>232</v>
      </c>
      <c r="D24" s="309">
        <v>3180368.7</v>
      </c>
      <c r="E24" s="7"/>
      <c r="I24" s="7"/>
      <c r="L24" s="6"/>
    </row>
    <row r="25" spans="2:24" ht="15" customHeight="1" x14ac:dyDescent="0.25">
      <c r="B25" s="307" t="s">
        <v>244</v>
      </c>
      <c r="C25" s="310">
        <v>125</v>
      </c>
      <c r="D25" s="309">
        <v>2754949.85</v>
      </c>
      <c r="E25" s="7"/>
      <c r="I25" s="7"/>
      <c r="L25" s="6"/>
    </row>
    <row r="26" spans="2:24" ht="15" customHeight="1" x14ac:dyDescent="0.25">
      <c r="B26" s="307" t="s">
        <v>52</v>
      </c>
      <c r="C26" s="310">
        <v>77</v>
      </c>
      <c r="D26" s="309">
        <v>836800.55</v>
      </c>
      <c r="E26" s="7"/>
      <c r="I26" s="7"/>
      <c r="L26" s="6"/>
    </row>
    <row r="27" spans="2:24" ht="15" customHeight="1" x14ac:dyDescent="0.25">
      <c r="B27" s="307" t="s">
        <v>71</v>
      </c>
      <c r="C27" s="310">
        <v>32</v>
      </c>
      <c r="D27" s="309">
        <v>167180.39000000001</v>
      </c>
      <c r="E27" s="7"/>
      <c r="I27" s="7"/>
      <c r="L27" s="6"/>
    </row>
    <row r="28" spans="2:24" ht="15" customHeight="1" x14ac:dyDescent="0.25">
      <c r="B28" s="307" t="s">
        <v>77</v>
      </c>
      <c r="C28" s="310">
        <v>21</v>
      </c>
      <c r="D28" s="309">
        <v>6037.26</v>
      </c>
      <c r="E28" s="7"/>
      <c r="I28" s="7"/>
      <c r="J28" s="6"/>
      <c r="K28" s="6"/>
      <c r="L28" s="6"/>
    </row>
    <row r="29" spans="2:24" ht="15" customHeight="1" x14ac:dyDescent="0.25">
      <c r="B29" s="307" t="s">
        <v>73</v>
      </c>
      <c r="C29" s="310">
        <v>7</v>
      </c>
      <c r="D29" s="309">
        <v>36900.879999999997</v>
      </c>
      <c r="E29" s="7"/>
      <c r="I29" s="7"/>
      <c r="J29" s="6"/>
      <c r="K29" s="6"/>
      <c r="L29" s="6"/>
    </row>
    <row r="30" spans="2:24" ht="15" customHeight="1" x14ac:dyDescent="0.25">
      <c r="B30" s="307" t="s">
        <v>66</v>
      </c>
      <c r="C30" s="310">
        <v>6</v>
      </c>
      <c r="D30" s="309">
        <v>131016.52</v>
      </c>
      <c r="E30" s="7"/>
      <c r="I30" s="7"/>
      <c r="J30" s="6"/>
      <c r="K30" s="6"/>
      <c r="L30" s="6"/>
    </row>
    <row r="31" spans="2:24" ht="15" customHeight="1" x14ac:dyDescent="0.25">
      <c r="B31" s="307" t="s">
        <v>60</v>
      </c>
      <c r="C31" s="310">
        <v>5</v>
      </c>
      <c r="D31" s="309">
        <v>52206.94</v>
      </c>
      <c r="E31" s="7"/>
      <c r="I31" s="7"/>
      <c r="J31" s="6"/>
      <c r="K31" s="6"/>
      <c r="L31" s="6"/>
    </row>
    <row r="32" spans="2:24" ht="15" customHeight="1" x14ac:dyDescent="0.25">
      <c r="B32" s="307" t="s">
        <v>74</v>
      </c>
      <c r="C32" s="310">
        <v>1</v>
      </c>
      <c r="D32" s="309">
        <v>2730.62</v>
      </c>
      <c r="E32" s="7"/>
      <c r="I32" s="7"/>
      <c r="J32" s="6"/>
      <c r="K32" s="6"/>
      <c r="L32" s="6"/>
    </row>
    <row r="33" spans="2:12" ht="15" customHeight="1" x14ac:dyDescent="0.25">
      <c r="B33" s="285" t="s">
        <v>78</v>
      </c>
      <c r="C33" s="311">
        <v>1</v>
      </c>
      <c r="D33" s="312">
        <v>5035.26</v>
      </c>
      <c r="E33" s="7"/>
      <c r="I33" s="7"/>
      <c r="J33" s="6"/>
      <c r="K33" s="6"/>
      <c r="L33" s="6"/>
    </row>
    <row r="34" spans="2:12" ht="15" customHeight="1" x14ac:dyDescent="0.25">
      <c r="B34" s="320" t="s">
        <v>45</v>
      </c>
      <c r="C34" s="321">
        <f>SUM(C23:C33)</f>
        <v>1980</v>
      </c>
      <c r="D34" s="322">
        <f>SUM(D23:D33)</f>
        <v>9459135.7799999993</v>
      </c>
      <c r="E34" s="7"/>
      <c r="I34" s="7"/>
      <c r="J34" s="6"/>
    </row>
    <row r="35" spans="2:12" ht="12.75" customHeight="1" x14ac:dyDescent="0.25">
      <c r="B35" s="13" t="s">
        <v>53</v>
      </c>
      <c r="C35" s="14"/>
      <c r="D35" s="14"/>
      <c r="E35" s="7"/>
      <c r="F35" s="6"/>
      <c r="G35" s="7"/>
      <c r="H35" s="7"/>
      <c r="I35" s="7"/>
      <c r="J35" s="6"/>
    </row>
    <row r="36" spans="2:12" ht="12.75" customHeight="1" x14ac:dyDescent="0.25">
      <c r="B36" s="6"/>
      <c r="C36" s="6"/>
      <c r="D36" s="6"/>
      <c r="E36" s="7"/>
      <c r="F36" s="6"/>
      <c r="G36" s="7"/>
      <c r="H36" s="7"/>
      <c r="I36" s="7"/>
      <c r="J36" s="6"/>
    </row>
    <row r="37" spans="2:12" ht="12.75" customHeight="1" x14ac:dyDescent="0.25">
      <c r="B37" s="6"/>
      <c r="C37" s="6"/>
      <c r="D37" s="6"/>
      <c r="E37" s="7"/>
      <c r="F37" s="6"/>
      <c r="G37" s="7"/>
      <c r="H37" s="7"/>
      <c r="I37" s="7"/>
      <c r="J37" s="6"/>
    </row>
    <row r="38" spans="2:12" ht="12.75" customHeight="1" x14ac:dyDescent="0.25">
      <c r="B38" s="6"/>
      <c r="C38" s="6"/>
      <c r="D38" s="6"/>
      <c r="E38" s="7"/>
      <c r="F38" s="6"/>
      <c r="G38" s="7"/>
      <c r="H38" s="7"/>
      <c r="I38" s="7"/>
      <c r="J38" s="6"/>
    </row>
    <row r="39" spans="2:12" ht="12.75" customHeight="1" x14ac:dyDescent="0.25">
      <c r="B39" s="335" t="s">
        <v>6</v>
      </c>
      <c r="C39" s="6"/>
      <c r="D39" s="6"/>
      <c r="E39" s="7"/>
      <c r="F39" s="6"/>
      <c r="G39" s="7"/>
      <c r="H39" s="7"/>
      <c r="I39" s="7"/>
      <c r="J39" s="6"/>
    </row>
    <row r="40" spans="2:12" ht="7.5" customHeight="1" x14ac:dyDescent="0.25">
      <c r="B40" s="6"/>
      <c r="C40" s="6"/>
      <c r="D40" s="6"/>
      <c r="E40" s="7"/>
      <c r="F40" s="6"/>
      <c r="G40" s="7"/>
      <c r="H40" s="7"/>
      <c r="I40" s="7"/>
      <c r="J40" s="6"/>
    </row>
    <row r="41" spans="2:12" ht="12.75" customHeight="1" x14ac:dyDescent="0.25">
      <c r="B41" s="17" t="s">
        <v>633</v>
      </c>
      <c r="C41" s="17"/>
      <c r="D41" s="17"/>
      <c r="E41" s="17"/>
      <c r="F41" s="17"/>
      <c r="G41" s="17"/>
      <c r="H41" s="17"/>
      <c r="I41" s="17"/>
      <c r="J41" s="17"/>
    </row>
    <row r="42" spans="2:12" ht="12.75" customHeight="1" x14ac:dyDescent="0.25">
      <c r="B42" s="264"/>
      <c r="C42" s="265"/>
      <c r="D42" s="266"/>
      <c r="E42" s="265"/>
      <c r="F42" s="266"/>
      <c r="G42" s="264"/>
      <c r="H42" s="266"/>
      <c r="I42" s="265"/>
      <c r="J42" s="266"/>
    </row>
    <row r="43" spans="2:12" ht="12.75" customHeight="1" x14ac:dyDescent="0.25">
      <c r="B43" s="318" t="s">
        <v>44</v>
      </c>
      <c r="C43" s="318" t="s">
        <v>54</v>
      </c>
      <c r="D43" s="318"/>
      <c r="E43" s="318" t="s">
        <v>631</v>
      </c>
      <c r="F43" s="318"/>
      <c r="G43" s="318" t="s">
        <v>55</v>
      </c>
      <c r="H43" s="318"/>
      <c r="I43" s="259"/>
      <c r="J43" s="259"/>
    </row>
    <row r="44" spans="2:12" ht="15" customHeight="1" x14ac:dyDescent="0.25">
      <c r="B44" s="318"/>
      <c r="C44" s="319" t="s">
        <v>49</v>
      </c>
      <c r="D44" s="319" t="s">
        <v>238</v>
      </c>
      <c r="E44" s="319" t="s">
        <v>49</v>
      </c>
      <c r="F44" s="319" t="s">
        <v>238</v>
      </c>
      <c r="G44" s="319" t="s">
        <v>49</v>
      </c>
      <c r="H44" s="319" t="s">
        <v>238</v>
      </c>
      <c r="I44" s="260"/>
      <c r="J44" s="261"/>
    </row>
    <row r="45" spans="2:12" ht="15" customHeight="1" x14ac:dyDescent="0.25">
      <c r="B45" s="285" t="s">
        <v>66</v>
      </c>
      <c r="C45" s="332"/>
      <c r="D45" s="329"/>
      <c r="E45" s="332"/>
      <c r="F45" s="329"/>
      <c r="G45" s="334">
        <v>49</v>
      </c>
      <c r="H45" s="331">
        <v>19056.391299999999</v>
      </c>
      <c r="I45" s="260"/>
      <c r="J45" s="261"/>
    </row>
    <row r="46" spans="2:12" ht="15" customHeight="1" x14ac:dyDescent="0.25">
      <c r="B46" s="285" t="s">
        <v>611</v>
      </c>
      <c r="C46" s="333">
        <v>20</v>
      </c>
      <c r="D46" s="330">
        <v>30696.192999999999</v>
      </c>
      <c r="E46" s="332"/>
      <c r="F46" s="329"/>
      <c r="G46" s="332"/>
      <c r="H46" s="329"/>
      <c r="I46" s="260"/>
      <c r="J46" s="261"/>
    </row>
    <row r="47" spans="2:12" ht="15" customHeight="1" x14ac:dyDescent="0.25">
      <c r="B47" s="285" t="s">
        <v>58</v>
      </c>
      <c r="C47" s="333">
        <v>16</v>
      </c>
      <c r="D47" s="330">
        <v>793.66</v>
      </c>
      <c r="E47" s="332"/>
      <c r="F47" s="329"/>
      <c r="G47" s="332"/>
      <c r="H47" s="329"/>
      <c r="I47" s="260"/>
      <c r="J47" s="261"/>
    </row>
    <row r="48" spans="2:12" ht="15" customHeight="1" x14ac:dyDescent="0.25">
      <c r="B48" s="285" t="s">
        <v>59</v>
      </c>
      <c r="C48" s="333">
        <v>27</v>
      </c>
      <c r="D48" s="330">
        <v>2107.9139</v>
      </c>
      <c r="E48" s="332"/>
      <c r="F48" s="329"/>
      <c r="G48" s="332"/>
      <c r="H48" s="329"/>
      <c r="I48" s="260"/>
      <c r="J48" s="261"/>
    </row>
    <row r="49" spans="2:10" ht="15" customHeight="1" x14ac:dyDescent="0.25">
      <c r="B49" s="285" t="s">
        <v>60</v>
      </c>
      <c r="C49" s="333">
        <v>1</v>
      </c>
      <c r="D49" s="330">
        <v>40.51</v>
      </c>
      <c r="E49" s="332"/>
      <c r="F49" s="329"/>
      <c r="G49" s="334">
        <v>8</v>
      </c>
      <c r="H49" s="331">
        <v>2340.1244999999999</v>
      </c>
      <c r="I49" s="260"/>
      <c r="J49" s="261"/>
    </row>
    <row r="50" spans="2:10" ht="15" customHeight="1" x14ac:dyDescent="0.25">
      <c r="B50" s="285" t="s">
        <v>613</v>
      </c>
      <c r="C50" s="333">
        <v>1</v>
      </c>
      <c r="D50" s="330">
        <v>387.31700000000001</v>
      </c>
      <c r="E50" s="334">
        <v>24</v>
      </c>
      <c r="F50" s="330">
        <v>1318.4169999999999</v>
      </c>
      <c r="G50" s="334">
        <v>22</v>
      </c>
      <c r="H50" s="331">
        <v>10037.540199999999</v>
      </c>
      <c r="I50" s="260"/>
      <c r="J50" s="261"/>
    </row>
    <row r="51" spans="2:10" ht="15" customHeight="1" x14ac:dyDescent="0.25">
      <c r="B51" s="285" t="s">
        <v>72</v>
      </c>
      <c r="C51" s="333">
        <v>1</v>
      </c>
      <c r="D51" s="330">
        <v>0.38</v>
      </c>
      <c r="E51" s="332"/>
      <c r="F51" s="329"/>
      <c r="G51" s="332"/>
      <c r="H51" s="329"/>
      <c r="I51" s="260"/>
      <c r="J51" s="261"/>
    </row>
    <row r="52" spans="2:10" ht="15" customHeight="1" x14ac:dyDescent="0.25">
      <c r="B52" s="285" t="s">
        <v>614</v>
      </c>
      <c r="C52" s="333">
        <v>2</v>
      </c>
      <c r="D52" s="330">
        <v>1098.5891999999999</v>
      </c>
      <c r="E52" s="332"/>
      <c r="F52" s="329"/>
      <c r="G52" s="334">
        <v>6</v>
      </c>
      <c r="H52" s="331">
        <v>7446.6659</v>
      </c>
      <c r="I52" s="260"/>
      <c r="J52" s="261"/>
    </row>
    <row r="53" spans="2:10" ht="15" customHeight="1" x14ac:dyDescent="0.25">
      <c r="B53" s="285" t="s">
        <v>74</v>
      </c>
      <c r="C53" s="333">
        <v>19</v>
      </c>
      <c r="D53" s="330">
        <v>954.63779999999997</v>
      </c>
      <c r="E53" s="332"/>
      <c r="F53" s="329"/>
      <c r="G53" s="332"/>
      <c r="H53" s="329"/>
      <c r="I53" s="260"/>
      <c r="J53" s="261"/>
    </row>
    <row r="54" spans="2:10" ht="15" customHeight="1" x14ac:dyDescent="0.25">
      <c r="B54" s="285" t="s">
        <v>61</v>
      </c>
      <c r="C54" s="333">
        <v>13</v>
      </c>
      <c r="D54" s="330">
        <v>20.085699999999999</v>
      </c>
      <c r="E54" s="332"/>
      <c r="F54" s="329"/>
      <c r="G54" s="332"/>
      <c r="H54" s="329"/>
      <c r="I54" s="260"/>
      <c r="J54" s="261"/>
    </row>
    <row r="55" spans="2:10" ht="15" customHeight="1" x14ac:dyDescent="0.25">
      <c r="B55" s="285" t="s">
        <v>50</v>
      </c>
      <c r="C55" s="332"/>
      <c r="D55" s="329"/>
      <c r="E55" s="332"/>
      <c r="F55" s="329"/>
      <c r="G55" s="334">
        <v>209</v>
      </c>
      <c r="H55" s="331">
        <v>142827.36369999999</v>
      </c>
      <c r="I55" s="260"/>
      <c r="J55" s="261"/>
    </row>
    <row r="56" spans="2:10" ht="15" customHeight="1" x14ac:dyDescent="0.25">
      <c r="B56" s="285" t="s">
        <v>627</v>
      </c>
      <c r="C56" s="332"/>
      <c r="D56" s="329"/>
      <c r="E56" s="332"/>
      <c r="F56" s="329"/>
      <c r="G56" s="334">
        <v>18</v>
      </c>
      <c r="H56" s="331">
        <v>76935.930500000002</v>
      </c>
      <c r="I56" s="260"/>
      <c r="J56" s="261"/>
    </row>
    <row r="57" spans="2:10" ht="15" customHeight="1" x14ac:dyDescent="0.25">
      <c r="B57" s="285" t="s">
        <v>77</v>
      </c>
      <c r="C57" s="332"/>
      <c r="D57" s="329"/>
      <c r="E57" s="332"/>
      <c r="F57" s="329"/>
      <c r="G57" s="334">
        <v>10</v>
      </c>
      <c r="H57" s="331">
        <v>1681.1420000000001</v>
      </c>
      <c r="I57" s="260"/>
      <c r="J57" s="261"/>
    </row>
    <row r="58" spans="2:10" ht="15" customHeight="1" x14ac:dyDescent="0.25">
      <c r="B58" s="285" t="s">
        <v>78</v>
      </c>
      <c r="C58" s="332"/>
      <c r="D58" s="329"/>
      <c r="E58" s="332"/>
      <c r="F58" s="329"/>
      <c r="G58" s="334">
        <v>15</v>
      </c>
      <c r="H58" s="331">
        <v>23518.178899999999</v>
      </c>
      <c r="I58" s="260"/>
      <c r="J58" s="261"/>
    </row>
    <row r="59" spans="2:10" ht="15" customHeight="1" x14ac:dyDescent="0.25">
      <c r="B59" s="285" t="s">
        <v>612</v>
      </c>
      <c r="C59" s="332"/>
      <c r="D59" s="329"/>
      <c r="E59" s="334">
        <v>411</v>
      </c>
      <c r="F59" s="330">
        <v>1469.7362000000001</v>
      </c>
      <c r="G59" s="334">
        <v>36</v>
      </c>
      <c r="H59" s="331">
        <v>965.89459999999997</v>
      </c>
      <c r="I59" s="260"/>
      <c r="J59" s="261"/>
    </row>
    <row r="60" spans="2:10" ht="15" customHeight="1" x14ac:dyDescent="0.25">
      <c r="B60" s="285" t="s">
        <v>244</v>
      </c>
      <c r="C60" s="332"/>
      <c r="D60" s="329"/>
      <c r="E60" s="334">
        <v>14</v>
      </c>
      <c r="F60" s="330">
        <v>114.5996</v>
      </c>
      <c r="G60" s="334">
        <v>26</v>
      </c>
      <c r="H60" s="331">
        <v>62827.470999999998</v>
      </c>
      <c r="I60" s="260"/>
      <c r="J60" s="261"/>
    </row>
    <row r="61" spans="2:10" ht="15" customHeight="1" x14ac:dyDescent="0.25">
      <c r="B61" s="320" t="s">
        <v>632</v>
      </c>
      <c r="C61" s="321">
        <f>SUM(C45:C60)</f>
        <v>100</v>
      </c>
      <c r="D61" s="322">
        <f t="shared" ref="D61:H61" si="1">SUM(D45:D60)</f>
        <v>36099.286600000007</v>
      </c>
      <c r="E61" s="321">
        <f t="shared" si="1"/>
        <v>449</v>
      </c>
      <c r="F61" s="322">
        <f t="shared" si="1"/>
        <v>2902.7527999999998</v>
      </c>
      <c r="G61" s="321">
        <f t="shared" si="1"/>
        <v>399</v>
      </c>
      <c r="H61" s="322">
        <f t="shared" si="1"/>
        <v>347636.70260000002</v>
      </c>
      <c r="I61" s="260"/>
      <c r="J61" s="261"/>
    </row>
    <row r="62" spans="2:10" ht="15" customHeight="1" x14ac:dyDescent="0.25">
      <c r="B62" s="18" t="s">
        <v>53</v>
      </c>
      <c r="C62" s="257"/>
      <c r="D62" s="258"/>
      <c r="E62" s="257"/>
      <c r="F62" s="258"/>
      <c r="G62" s="257"/>
      <c r="H62" s="258"/>
      <c r="I62" s="257"/>
      <c r="J62" s="258"/>
    </row>
    <row r="63" spans="2:10" ht="15" customHeight="1" x14ac:dyDescent="0.25">
      <c r="B63" s="262"/>
      <c r="C63" s="262"/>
      <c r="D63" s="263"/>
      <c r="E63" s="262"/>
      <c r="F63" s="262"/>
      <c r="G63" s="262"/>
      <c r="H63" s="263"/>
      <c r="I63" s="262"/>
      <c r="J63" s="263"/>
    </row>
    <row r="64" spans="2:10" ht="12.75" customHeight="1" x14ac:dyDescent="0.25">
      <c r="C64" s="18"/>
      <c r="D64" s="18"/>
      <c r="E64" s="18"/>
      <c r="F64" s="18"/>
      <c r="G64" s="18"/>
      <c r="H64" s="18"/>
      <c r="I64" s="18"/>
      <c r="J64" s="18"/>
    </row>
    <row r="67" spans="2:7" ht="12.75" customHeight="1" x14ac:dyDescent="0.25">
      <c r="B67" s="19" t="s">
        <v>636</v>
      </c>
      <c r="C67" s="19"/>
      <c r="D67" s="19"/>
      <c r="E67" s="19"/>
      <c r="F67" s="19"/>
      <c r="G67" s="19"/>
    </row>
    <row r="68" spans="2:7" ht="36" customHeight="1" x14ac:dyDescent="0.25">
      <c r="B68" s="336" t="s">
        <v>44</v>
      </c>
      <c r="C68" s="337" t="s">
        <v>56</v>
      </c>
      <c r="D68" s="336" t="s">
        <v>57</v>
      </c>
      <c r="E68" s="337" t="s">
        <v>635</v>
      </c>
      <c r="F68" s="338" t="s">
        <v>45</v>
      </c>
    </row>
    <row r="69" spans="2:7" ht="15" customHeight="1" x14ac:dyDescent="0.25">
      <c r="B69" s="339" t="s">
        <v>60</v>
      </c>
      <c r="C69" s="340"/>
      <c r="D69" s="341">
        <v>1</v>
      </c>
      <c r="E69" s="341">
        <v>1</v>
      </c>
      <c r="F69" s="341">
        <v>2</v>
      </c>
    </row>
    <row r="70" spans="2:7" ht="15" customHeight="1" x14ac:dyDescent="0.25">
      <c r="B70" s="339" t="s">
        <v>61</v>
      </c>
      <c r="C70" s="341">
        <v>1</v>
      </c>
      <c r="D70" s="341">
        <v>2</v>
      </c>
      <c r="E70" s="340"/>
      <c r="F70" s="341">
        <v>3</v>
      </c>
    </row>
    <row r="71" spans="2:7" ht="15" customHeight="1" x14ac:dyDescent="0.25">
      <c r="B71" s="286" t="s">
        <v>45</v>
      </c>
      <c r="C71" s="342">
        <f>SUM(C69:C70)</f>
        <v>1</v>
      </c>
      <c r="D71" s="342">
        <f>SUM(D69:D70)</f>
        <v>3</v>
      </c>
      <c r="E71" s="342">
        <f>SUM(E69:E70)</f>
        <v>1</v>
      </c>
      <c r="F71" s="342">
        <f>SUM(F69:F70)</f>
        <v>5</v>
      </c>
    </row>
    <row r="72" spans="2:7" ht="12.75" customHeight="1" x14ac:dyDescent="0.25">
      <c r="B72" s="13" t="s">
        <v>53</v>
      </c>
      <c r="C72" s="8"/>
      <c r="D72" s="8"/>
      <c r="E72" s="8"/>
      <c r="F72" s="8"/>
      <c r="G72" s="8"/>
    </row>
  </sheetData>
  <mergeCells count="10">
    <mergeCell ref="K10:L10"/>
    <mergeCell ref="B43:B44"/>
    <mergeCell ref="C43:D43"/>
    <mergeCell ref="E43:F43"/>
    <mergeCell ref="G43:H43"/>
    <mergeCell ref="B10:B11"/>
    <mergeCell ref="C10:D10"/>
    <mergeCell ref="E10:F10"/>
    <mergeCell ref="G10:H10"/>
    <mergeCell ref="I10:J10"/>
  </mergeCells>
  <hyperlinks>
    <hyperlink ref="A1" location="INDICE!A1" display="(Ir al Índice)" xr:uid="{00000000-0004-0000-0100-000000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8B0D4"/>
  </sheetPr>
  <dimension ref="A1:I58"/>
  <sheetViews>
    <sheetView showGridLines="0" topLeftCell="A37" zoomScaleNormal="100" workbookViewId="0">
      <selection activeCell="G56" sqref="G56"/>
    </sheetView>
  </sheetViews>
  <sheetFormatPr baseColWidth="10" defaultColWidth="14.42578125" defaultRowHeight="15" customHeight="1" x14ac:dyDescent="0.25"/>
  <cols>
    <col min="1" max="1" width="4.28515625" customWidth="1"/>
    <col min="2" max="2" width="18.5703125" customWidth="1"/>
    <col min="3" max="3" width="18.85546875" customWidth="1"/>
    <col min="4" max="4" width="16.85546875" customWidth="1"/>
    <col min="5" max="5" width="22.85546875" customWidth="1"/>
    <col min="6" max="26" width="11.5703125" customWidth="1"/>
  </cols>
  <sheetData>
    <row r="1" spans="1:9" x14ac:dyDescent="0.25">
      <c r="A1" s="78" t="s">
        <v>43</v>
      </c>
    </row>
    <row r="2" spans="1:9" x14ac:dyDescent="0.25">
      <c r="A2" s="5"/>
    </row>
    <row r="3" spans="1:9" x14ac:dyDescent="0.25">
      <c r="B3" s="4" t="s">
        <v>7</v>
      </c>
    </row>
    <row r="4" spans="1:9" x14ac:dyDescent="0.25">
      <c r="B4" s="4"/>
    </row>
    <row r="5" spans="1:9" x14ac:dyDescent="0.25">
      <c r="B5" s="4" t="s">
        <v>8</v>
      </c>
    </row>
    <row r="6" spans="1:9" x14ac:dyDescent="0.25">
      <c r="B6" s="1"/>
    </row>
    <row r="7" spans="1:9" x14ac:dyDescent="0.25">
      <c r="B7" s="19" t="s">
        <v>639</v>
      </c>
    </row>
    <row r="8" spans="1:9" x14ac:dyDescent="0.25">
      <c r="B8" s="343" t="s">
        <v>44</v>
      </c>
      <c r="C8" s="343" t="s">
        <v>62</v>
      </c>
      <c r="D8" s="343"/>
      <c r="E8" s="343"/>
      <c r="I8" s="15" t="s">
        <v>63</v>
      </c>
    </row>
    <row r="9" spans="1:9" x14ac:dyDescent="0.25">
      <c r="B9" s="343"/>
      <c r="C9" s="337" t="s">
        <v>64</v>
      </c>
      <c r="D9" s="337" t="s">
        <v>637</v>
      </c>
      <c r="E9" s="337" t="s">
        <v>638</v>
      </c>
      <c r="I9" s="22" t="s">
        <v>640</v>
      </c>
    </row>
    <row r="10" spans="1:9" ht="15" customHeight="1" x14ac:dyDescent="0.25">
      <c r="B10" s="277" t="s">
        <v>66</v>
      </c>
      <c r="C10" s="279">
        <v>1</v>
      </c>
      <c r="D10" s="278"/>
      <c r="E10" s="340">
        <v>1</v>
      </c>
    </row>
    <row r="11" spans="1:9" ht="15" customHeight="1" x14ac:dyDescent="0.25">
      <c r="B11" s="277" t="s">
        <v>67</v>
      </c>
      <c r="C11" s="279">
        <v>19</v>
      </c>
      <c r="D11" s="279">
        <v>1</v>
      </c>
      <c r="E11" s="278"/>
    </row>
    <row r="12" spans="1:9" ht="15" customHeight="1" x14ac:dyDescent="0.25">
      <c r="B12" s="277" t="s">
        <v>68</v>
      </c>
      <c r="C12" s="279">
        <v>31</v>
      </c>
      <c r="D12" s="278"/>
      <c r="E12" s="278"/>
    </row>
    <row r="13" spans="1:9" ht="15" customHeight="1" x14ac:dyDescent="0.25">
      <c r="B13" s="277" t="s">
        <v>58</v>
      </c>
      <c r="C13" s="279">
        <v>204</v>
      </c>
      <c r="D13" s="278"/>
      <c r="E13" s="278"/>
    </row>
    <row r="14" spans="1:9" ht="15" customHeight="1" x14ac:dyDescent="0.25">
      <c r="B14" s="277" t="s">
        <v>69</v>
      </c>
      <c r="C14" s="278"/>
      <c r="D14" s="278"/>
      <c r="E14" s="278"/>
    </row>
    <row r="15" spans="1:9" ht="15" customHeight="1" x14ac:dyDescent="0.25">
      <c r="B15" s="277" t="s">
        <v>59</v>
      </c>
      <c r="C15" s="279">
        <v>35</v>
      </c>
      <c r="D15" s="278"/>
      <c r="E15" s="340">
        <v>1</v>
      </c>
    </row>
    <row r="16" spans="1:9" ht="15" customHeight="1" x14ac:dyDescent="0.25">
      <c r="B16" s="277" t="s">
        <v>60</v>
      </c>
      <c r="C16" s="279">
        <v>118</v>
      </c>
      <c r="D16" s="278"/>
      <c r="E16" s="278"/>
    </row>
    <row r="17" spans="2:5" ht="15" customHeight="1" x14ac:dyDescent="0.25">
      <c r="B17" s="277" t="s">
        <v>70</v>
      </c>
      <c r="C17" s="279">
        <v>1</v>
      </c>
      <c r="D17" s="278"/>
      <c r="E17" s="278"/>
    </row>
    <row r="18" spans="2:5" ht="15" customHeight="1" x14ac:dyDescent="0.25">
      <c r="B18" s="277" t="s">
        <v>71</v>
      </c>
      <c r="C18" s="279">
        <v>4</v>
      </c>
      <c r="D18" s="278"/>
      <c r="E18" s="340">
        <v>32</v>
      </c>
    </row>
    <row r="19" spans="2:5" ht="15" customHeight="1" x14ac:dyDescent="0.25">
      <c r="B19" s="277" t="s">
        <v>72</v>
      </c>
      <c r="C19" s="279">
        <v>65</v>
      </c>
      <c r="D19" s="278"/>
      <c r="E19" s="278"/>
    </row>
    <row r="20" spans="2:5" ht="15" customHeight="1" x14ac:dyDescent="0.25">
      <c r="B20" s="277" t="s">
        <v>73</v>
      </c>
      <c r="C20" s="279">
        <v>21</v>
      </c>
      <c r="D20" s="278"/>
      <c r="E20" s="279">
        <v>3</v>
      </c>
    </row>
    <row r="21" spans="2:5" ht="15" customHeight="1" x14ac:dyDescent="0.25">
      <c r="B21" s="277" t="s">
        <v>74</v>
      </c>
      <c r="C21" s="279">
        <v>99</v>
      </c>
      <c r="D21" s="278"/>
      <c r="E21" s="278"/>
    </row>
    <row r="22" spans="2:5" ht="15" customHeight="1" x14ac:dyDescent="0.25">
      <c r="B22" s="277" t="s">
        <v>75</v>
      </c>
      <c r="C22" s="279">
        <v>72</v>
      </c>
      <c r="D22" s="278"/>
      <c r="E22" s="278"/>
    </row>
    <row r="23" spans="2:5" ht="15" customHeight="1" x14ac:dyDescent="0.25">
      <c r="B23" s="277" t="s">
        <v>61</v>
      </c>
      <c r="C23" s="279">
        <v>1148</v>
      </c>
      <c r="D23" s="279">
        <v>13</v>
      </c>
      <c r="E23" s="340">
        <v>14</v>
      </c>
    </row>
    <row r="24" spans="2:5" ht="15" customHeight="1" x14ac:dyDescent="0.25">
      <c r="B24" s="277" t="s">
        <v>50</v>
      </c>
      <c r="C24" s="279">
        <v>1</v>
      </c>
      <c r="D24" s="278"/>
      <c r="E24" s="279">
        <v>8</v>
      </c>
    </row>
    <row r="25" spans="2:5" ht="15" customHeight="1" x14ac:dyDescent="0.25">
      <c r="B25" s="277" t="s">
        <v>51</v>
      </c>
      <c r="C25" s="279">
        <v>22</v>
      </c>
      <c r="D25" s="278"/>
      <c r="E25" s="278"/>
    </row>
    <row r="26" spans="2:5" ht="15" customHeight="1" x14ac:dyDescent="0.25">
      <c r="B26" s="277" t="s">
        <v>76</v>
      </c>
      <c r="C26" s="279">
        <v>4</v>
      </c>
      <c r="D26" s="278"/>
      <c r="E26" s="278"/>
    </row>
    <row r="27" spans="2:5" ht="15" customHeight="1" x14ac:dyDescent="0.25">
      <c r="B27" s="277" t="s">
        <v>77</v>
      </c>
      <c r="C27" s="278"/>
      <c r="D27" s="278"/>
      <c r="E27" s="278"/>
    </row>
    <row r="28" spans="2:5" ht="15" customHeight="1" x14ac:dyDescent="0.25">
      <c r="B28" s="277" t="s">
        <v>78</v>
      </c>
      <c r="C28" s="279">
        <v>65</v>
      </c>
      <c r="D28" s="279">
        <v>4</v>
      </c>
      <c r="E28" s="278"/>
    </row>
    <row r="29" spans="2:5" ht="15" customHeight="1" x14ac:dyDescent="0.25">
      <c r="B29" s="277" t="s">
        <v>79</v>
      </c>
      <c r="C29" s="279">
        <v>21</v>
      </c>
      <c r="D29" s="278"/>
      <c r="E29" s="278"/>
    </row>
    <row r="30" spans="2:5" ht="15" customHeight="1" x14ac:dyDescent="0.25">
      <c r="B30" s="277" t="s">
        <v>52</v>
      </c>
      <c r="C30" s="278"/>
      <c r="D30" s="278"/>
      <c r="E30" s="278"/>
    </row>
    <row r="31" spans="2:5" ht="15" customHeight="1" x14ac:dyDescent="0.25">
      <c r="B31" s="277" t="s">
        <v>80</v>
      </c>
      <c r="C31" s="279">
        <v>6</v>
      </c>
      <c r="D31" s="278"/>
      <c r="E31" s="278"/>
    </row>
    <row r="32" spans="2:5" ht="15" customHeight="1" x14ac:dyDescent="0.25">
      <c r="B32" s="342" t="s">
        <v>45</v>
      </c>
      <c r="C32" s="344">
        <f>SUM(C10:C31)</f>
        <v>1937</v>
      </c>
      <c r="D32" s="344">
        <f>SUM(D10:D31)</f>
        <v>18</v>
      </c>
      <c r="E32" s="344">
        <f>SUM(E10:E31)</f>
        <v>59</v>
      </c>
    </row>
    <row r="33" spans="2:4" ht="15.75" customHeight="1" x14ac:dyDescent="0.25">
      <c r="B33" s="13" t="s">
        <v>53</v>
      </c>
    </row>
    <row r="34" spans="2:4" ht="15.75" customHeight="1" x14ac:dyDescent="0.25">
      <c r="B34" s="13"/>
    </row>
    <row r="37" spans="2:4" ht="24.75" customHeight="1" x14ac:dyDescent="0.25">
      <c r="B37" s="19" t="s">
        <v>642</v>
      </c>
      <c r="C37" s="23"/>
      <c r="D37" s="23"/>
    </row>
    <row r="38" spans="2:4" ht="24.75" customHeight="1" x14ac:dyDescent="0.25">
      <c r="B38" s="336" t="s">
        <v>82</v>
      </c>
      <c r="C38" s="336" t="s">
        <v>83</v>
      </c>
      <c r="D38" s="337" t="s">
        <v>84</v>
      </c>
    </row>
    <row r="39" spans="2:4" ht="15" customHeight="1" x14ac:dyDescent="0.25">
      <c r="B39" s="345" t="s">
        <v>617</v>
      </c>
      <c r="C39" s="341">
        <v>6</v>
      </c>
      <c r="D39" s="341">
        <v>45</v>
      </c>
    </row>
    <row r="40" spans="2:4" ht="15" customHeight="1" x14ac:dyDescent="0.25">
      <c r="B40" s="345" t="s">
        <v>618</v>
      </c>
      <c r="C40" s="341">
        <v>11</v>
      </c>
      <c r="D40" s="341">
        <v>80</v>
      </c>
    </row>
    <row r="41" spans="2:4" ht="15" customHeight="1" x14ac:dyDescent="0.25">
      <c r="B41" s="345" t="s">
        <v>641</v>
      </c>
      <c r="C41" s="341">
        <v>26</v>
      </c>
      <c r="D41" s="341">
        <v>42</v>
      </c>
    </row>
    <row r="42" spans="2:4" ht="15" customHeight="1" x14ac:dyDescent="0.25">
      <c r="B42" s="345" t="s">
        <v>85</v>
      </c>
      <c r="C42" s="341">
        <v>91</v>
      </c>
      <c r="D42" s="341">
        <v>491</v>
      </c>
    </row>
    <row r="43" spans="2:4" ht="15" customHeight="1" x14ac:dyDescent="0.25">
      <c r="B43" s="345" t="s">
        <v>86</v>
      </c>
      <c r="C43" s="341">
        <v>50</v>
      </c>
      <c r="D43" s="341">
        <v>174</v>
      </c>
    </row>
    <row r="44" spans="2:4" ht="15" customHeight="1" x14ac:dyDescent="0.25">
      <c r="B44" s="345" t="s">
        <v>87</v>
      </c>
      <c r="C44" s="341">
        <v>5</v>
      </c>
      <c r="D44" s="341">
        <v>21</v>
      </c>
    </row>
    <row r="45" spans="2:4" ht="15" customHeight="1" x14ac:dyDescent="0.25">
      <c r="B45" s="345" t="s">
        <v>88</v>
      </c>
      <c r="C45" s="341">
        <v>8</v>
      </c>
      <c r="D45" s="341">
        <v>38</v>
      </c>
    </row>
    <row r="46" spans="2:4" ht="15" customHeight="1" x14ac:dyDescent="0.25">
      <c r="B46" s="345" t="s">
        <v>619</v>
      </c>
      <c r="C46" s="341">
        <v>1</v>
      </c>
      <c r="D46" s="341">
        <v>1</v>
      </c>
    </row>
    <row r="47" spans="2:4" ht="15" customHeight="1" x14ac:dyDescent="0.25">
      <c r="B47" s="345" t="s">
        <v>620</v>
      </c>
      <c r="C47" s="341">
        <v>20</v>
      </c>
      <c r="D47" s="341">
        <v>159</v>
      </c>
    </row>
    <row r="48" spans="2:4" ht="15" customHeight="1" x14ac:dyDescent="0.25">
      <c r="B48" s="345" t="s">
        <v>621</v>
      </c>
      <c r="C48" s="341">
        <v>6</v>
      </c>
      <c r="D48" s="341">
        <v>16</v>
      </c>
    </row>
    <row r="49" spans="2:4" ht="15" customHeight="1" x14ac:dyDescent="0.25">
      <c r="B49" s="345" t="s">
        <v>622</v>
      </c>
      <c r="C49" s="341">
        <v>2</v>
      </c>
      <c r="D49" s="341">
        <v>12</v>
      </c>
    </row>
    <row r="50" spans="2:4" ht="15" customHeight="1" x14ac:dyDescent="0.25">
      <c r="B50" s="345" t="s">
        <v>89</v>
      </c>
      <c r="C50" s="341">
        <v>9</v>
      </c>
      <c r="D50" s="341">
        <v>162</v>
      </c>
    </row>
    <row r="51" spans="2:4" ht="15" customHeight="1" x14ac:dyDescent="0.25">
      <c r="B51" s="345" t="s">
        <v>90</v>
      </c>
      <c r="C51" s="341">
        <v>10</v>
      </c>
      <c r="D51" s="341">
        <v>119</v>
      </c>
    </row>
    <row r="52" spans="2:4" ht="15" customHeight="1" x14ac:dyDescent="0.25">
      <c r="B52" s="345" t="s">
        <v>623</v>
      </c>
      <c r="C52" s="341">
        <v>10</v>
      </c>
      <c r="D52" s="341">
        <v>150</v>
      </c>
    </row>
    <row r="53" spans="2:4" ht="15" customHeight="1" x14ac:dyDescent="0.25">
      <c r="B53" s="345" t="s">
        <v>91</v>
      </c>
      <c r="C53" s="341">
        <v>13</v>
      </c>
      <c r="D53" s="341">
        <v>29</v>
      </c>
    </row>
    <row r="54" spans="2:4" ht="15" customHeight="1" x14ac:dyDescent="0.25">
      <c r="B54" s="345" t="s">
        <v>92</v>
      </c>
      <c r="C54" s="341">
        <v>12</v>
      </c>
      <c r="D54" s="341">
        <v>189</v>
      </c>
    </row>
    <row r="55" spans="2:4" ht="15" customHeight="1" x14ac:dyDescent="0.25">
      <c r="B55" s="345" t="s">
        <v>93</v>
      </c>
      <c r="C55" s="341">
        <v>49</v>
      </c>
      <c r="D55" s="341">
        <v>308</v>
      </c>
    </row>
    <row r="56" spans="2:4" ht="15" customHeight="1" x14ac:dyDescent="0.25">
      <c r="B56" s="345" t="s">
        <v>94</v>
      </c>
      <c r="C56" s="341">
        <v>24</v>
      </c>
      <c r="D56" s="341">
        <v>93</v>
      </c>
    </row>
    <row r="57" spans="2:4" ht="15" customHeight="1" x14ac:dyDescent="0.25">
      <c r="B57" s="346" t="s">
        <v>45</v>
      </c>
      <c r="C57" s="347">
        <f>SUM(C39:C56)</f>
        <v>353</v>
      </c>
      <c r="D57" s="347">
        <f>SUM(D39:D56)</f>
        <v>2129</v>
      </c>
    </row>
    <row r="58" spans="2:4" ht="15.75" customHeight="1" x14ac:dyDescent="0.25">
      <c r="B58" s="18" t="s">
        <v>95</v>
      </c>
      <c r="C58" s="1"/>
      <c r="D58" s="1"/>
    </row>
  </sheetData>
  <mergeCells count="2">
    <mergeCell ref="B8:B9"/>
    <mergeCell ref="C8:E8"/>
  </mergeCells>
  <hyperlinks>
    <hyperlink ref="A1" location="INDICE!A1" display="(Ir al Índice)" xr:uid="{8C3124B8-0BF9-4AA8-85BF-4FD322E90278}"/>
  </hyperlink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B0D4"/>
  </sheetPr>
  <dimension ref="A1:AF99"/>
  <sheetViews>
    <sheetView showGridLines="0" zoomScale="90" zoomScaleNormal="90" workbookViewId="0"/>
  </sheetViews>
  <sheetFormatPr baseColWidth="10" defaultColWidth="14.42578125" defaultRowHeight="15" customHeight="1" x14ac:dyDescent="0.25"/>
  <cols>
    <col min="1" max="1" width="4.28515625" customWidth="1"/>
    <col min="2" max="2" width="37.140625" customWidth="1"/>
    <col min="3" max="3" width="16.140625" customWidth="1"/>
    <col min="4" max="4" width="16.28515625" customWidth="1"/>
    <col min="5" max="5" width="15.85546875" customWidth="1"/>
    <col min="6" max="6" width="15.5703125" customWidth="1"/>
    <col min="7" max="7" width="15" customWidth="1"/>
    <col min="8" max="8" width="8.5703125" customWidth="1"/>
    <col min="9" max="11" width="11.5703125" customWidth="1"/>
    <col min="12" max="12" width="15.5703125" customWidth="1"/>
    <col min="13" max="19" width="11.5703125" customWidth="1"/>
    <col min="20" max="20" width="17.85546875" customWidth="1"/>
    <col min="21" max="37" width="11.5703125" customWidth="1"/>
  </cols>
  <sheetData>
    <row r="1" spans="1:4" x14ac:dyDescent="0.25">
      <c r="A1" s="78" t="s">
        <v>43</v>
      </c>
    </row>
    <row r="2" spans="1:4" ht="15.75" x14ac:dyDescent="0.25">
      <c r="A2" s="3"/>
      <c r="B2" s="24"/>
      <c r="C2" s="8"/>
      <c r="D2" s="8"/>
    </row>
    <row r="3" spans="1:4" ht="15.75" x14ac:dyDescent="0.25">
      <c r="A3" s="3"/>
      <c r="B3" s="4" t="s">
        <v>10</v>
      </c>
      <c r="C3" s="8"/>
      <c r="D3" s="8"/>
    </row>
    <row r="4" spans="1:4" ht="15.75" x14ac:dyDescent="0.25">
      <c r="A4" s="3"/>
      <c r="B4" s="24"/>
      <c r="C4" s="8"/>
      <c r="D4" s="8"/>
    </row>
    <row r="5" spans="1:4" x14ac:dyDescent="0.25">
      <c r="B5" s="19" t="s">
        <v>643</v>
      </c>
    </row>
    <row r="6" spans="1:4" x14ac:dyDescent="0.25">
      <c r="B6" s="348" t="s">
        <v>44</v>
      </c>
      <c r="C6" s="348" t="s">
        <v>96</v>
      </c>
      <c r="D6" s="348"/>
    </row>
    <row r="7" spans="1:4" ht="24" customHeight="1" x14ac:dyDescent="0.25">
      <c r="B7" s="349"/>
      <c r="C7" s="350" t="s">
        <v>97</v>
      </c>
      <c r="D7" s="350" t="s">
        <v>65</v>
      </c>
    </row>
    <row r="8" spans="1:4" ht="15" customHeight="1" x14ac:dyDescent="0.25">
      <c r="B8" s="277" t="s">
        <v>58</v>
      </c>
      <c r="C8" s="279">
        <v>11</v>
      </c>
      <c r="D8" s="278"/>
    </row>
    <row r="9" spans="1:4" ht="15" customHeight="1" x14ac:dyDescent="0.25">
      <c r="B9" s="277" t="s">
        <v>59</v>
      </c>
      <c r="C9" s="278"/>
      <c r="D9" s="279">
        <v>1</v>
      </c>
    </row>
    <row r="10" spans="1:4" ht="15" customHeight="1" x14ac:dyDescent="0.25">
      <c r="B10" s="277" t="s">
        <v>60</v>
      </c>
      <c r="C10" s="279">
        <v>2</v>
      </c>
      <c r="D10" s="340">
        <v>3</v>
      </c>
    </row>
    <row r="11" spans="1:4" ht="15" customHeight="1" x14ac:dyDescent="0.25">
      <c r="B11" s="277" t="s">
        <v>71</v>
      </c>
      <c r="C11" s="278"/>
      <c r="D11" s="340">
        <v>37</v>
      </c>
    </row>
    <row r="12" spans="1:4" ht="15" customHeight="1" x14ac:dyDescent="0.25">
      <c r="B12" s="277" t="s">
        <v>61</v>
      </c>
      <c r="C12" s="279">
        <v>15</v>
      </c>
      <c r="D12" s="278"/>
    </row>
    <row r="13" spans="1:4" ht="15" customHeight="1" x14ac:dyDescent="0.25">
      <c r="B13" s="277" t="s">
        <v>50</v>
      </c>
      <c r="C13" s="278"/>
      <c r="D13" s="340">
        <v>8</v>
      </c>
    </row>
    <row r="14" spans="1:4" ht="15" customHeight="1" x14ac:dyDescent="0.25">
      <c r="B14" s="277" t="s">
        <v>560</v>
      </c>
      <c r="C14" s="340">
        <v>1</v>
      </c>
      <c r="D14" s="278"/>
    </row>
    <row r="15" spans="1:4" ht="15" customHeight="1" x14ac:dyDescent="0.25">
      <c r="B15" s="339"/>
      <c r="C15" s="351"/>
      <c r="D15" s="351"/>
    </row>
    <row r="16" spans="1:4" ht="15" customHeight="1" x14ac:dyDescent="0.25">
      <c r="B16" s="346" t="s">
        <v>45</v>
      </c>
      <c r="C16" s="344">
        <f>SUM(C8:C15)</f>
        <v>29</v>
      </c>
      <c r="D16" s="344">
        <f>SUM(D8:D15)</f>
        <v>49</v>
      </c>
    </row>
    <row r="17" spans="2:8" x14ac:dyDescent="0.25">
      <c r="B17" s="13" t="s">
        <v>53</v>
      </c>
      <c r="H17" s="25"/>
    </row>
    <row r="18" spans="2:8" x14ac:dyDescent="0.25">
      <c r="B18" s="13" t="s">
        <v>81</v>
      </c>
      <c r="H18" s="25"/>
    </row>
    <row r="19" spans="2:8" x14ac:dyDescent="0.25">
      <c r="B19" s="13" t="s">
        <v>644</v>
      </c>
      <c r="H19" s="25"/>
    </row>
    <row r="20" spans="2:8" ht="15.75" customHeight="1" x14ac:dyDescent="0.25">
      <c r="B20" s="25"/>
      <c r="H20" s="25"/>
    </row>
    <row r="21" spans="2:8" ht="15.75" customHeight="1" x14ac:dyDescent="0.25">
      <c r="B21" s="13"/>
      <c r="H21" s="25"/>
    </row>
    <row r="22" spans="2:8" ht="15.75" customHeight="1" x14ac:dyDescent="0.25">
      <c r="B22" s="13"/>
      <c r="H22" s="25"/>
    </row>
    <row r="23" spans="2:8" ht="15.75" customHeight="1" x14ac:dyDescent="0.25">
      <c r="B23" s="24"/>
      <c r="C23" s="8"/>
      <c r="D23" s="8"/>
      <c r="E23" s="8"/>
      <c r="F23" s="8"/>
      <c r="G23" s="8"/>
      <c r="H23" s="8"/>
    </row>
    <row r="24" spans="2:8" ht="15.75" customHeight="1" x14ac:dyDescent="0.25">
      <c r="B24" s="19" t="s">
        <v>645</v>
      </c>
      <c r="C24" s="8"/>
      <c r="D24" s="8"/>
      <c r="E24" s="8"/>
      <c r="F24" s="8"/>
      <c r="G24" s="8"/>
      <c r="H24" s="8"/>
    </row>
    <row r="25" spans="2:8" ht="15" customHeight="1" x14ac:dyDescent="0.25">
      <c r="B25" s="348" t="s">
        <v>98</v>
      </c>
      <c r="C25" s="348" t="s">
        <v>44</v>
      </c>
      <c r="D25" s="348"/>
      <c r="E25" s="348"/>
      <c r="F25" s="354" t="s">
        <v>45</v>
      </c>
      <c r="G25" s="352"/>
    </row>
    <row r="26" spans="2:8" ht="28.5" customHeight="1" x14ac:dyDescent="0.25">
      <c r="B26" s="349"/>
      <c r="C26" s="355" t="s">
        <v>58</v>
      </c>
      <c r="D26" s="355" t="s">
        <v>61</v>
      </c>
      <c r="E26" s="356" t="s">
        <v>646</v>
      </c>
      <c r="F26" s="354"/>
      <c r="G26" s="353"/>
    </row>
    <row r="27" spans="2:8" ht="15" customHeight="1" x14ac:dyDescent="0.25">
      <c r="B27" s="277" t="s">
        <v>647</v>
      </c>
      <c r="C27" s="279">
        <v>52</v>
      </c>
      <c r="D27" s="279">
        <v>160</v>
      </c>
      <c r="E27" s="279">
        <v>8</v>
      </c>
      <c r="F27" s="357">
        <v>220</v>
      </c>
      <c r="G27" s="353"/>
    </row>
    <row r="28" spans="2:8" ht="15" customHeight="1" x14ac:dyDescent="0.25">
      <c r="B28" s="277" t="s">
        <v>648</v>
      </c>
      <c r="C28" s="279">
        <v>128</v>
      </c>
      <c r="D28" s="279">
        <v>0</v>
      </c>
      <c r="E28" s="279">
        <v>30</v>
      </c>
      <c r="F28" s="357">
        <v>158</v>
      </c>
      <c r="G28" s="353"/>
    </row>
    <row r="29" spans="2:8" ht="15" customHeight="1" x14ac:dyDescent="0.25">
      <c r="B29" s="277" t="s">
        <v>649</v>
      </c>
      <c r="C29" s="279">
        <v>27</v>
      </c>
      <c r="D29" s="279">
        <v>110</v>
      </c>
      <c r="E29" s="279">
        <v>8</v>
      </c>
      <c r="F29" s="357">
        <v>145</v>
      </c>
      <c r="G29" s="353"/>
    </row>
    <row r="30" spans="2:8" ht="15" customHeight="1" x14ac:dyDescent="0.25">
      <c r="B30" s="277" t="s">
        <v>650</v>
      </c>
      <c r="C30" s="279">
        <v>19</v>
      </c>
      <c r="D30" s="279">
        <v>60</v>
      </c>
      <c r="E30" s="278"/>
      <c r="F30" s="357">
        <v>79</v>
      </c>
      <c r="G30" s="353"/>
    </row>
    <row r="31" spans="2:8" ht="15" customHeight="1" x14ac:dyDescent="0.25">
      <c r="B31" s="277" t="s">
        <v>651</v>
      </c>
      <c r="C31" s="279">
        <v>30</v>
      </c>
      <c r="D31" s="279">
        <v>9</v>
      </c>
      <c r="E31" s="279">
        <v>2</v>
      </c>
      <c r="F31" s="357">
        <v>41</v>
      </c>
      <c r="G31" s="353"/>
    </row>
    <row r="32" spans="2:8" ht="15" customHeight="1" x14ac:dyDescent="0.25">
      <c r="B32" s="277" t="s">
        <v>652</v>
      </c>
      <c r="C32" s="278"/>
      <c r="D32" s="279">
        <v>30</v>
      </c>
      <c r="E32" s="278"/>
      <c r="F32" s="357">
        <v>30</v>
      </c>
      <c r="G32" s="353"/>
    </row>
    <row r="33" spans="2:8" ht="15" customHeight="1" x14ac:dyDescent="0.25">
      <c r="B33" s="277" t="s">
        <v>653</v>
      </c>
      <c r="C33" s="279">
        <v>16</v>
      </c>
      <c r="D33" s="278"/>
      <c r="E33" s="279">
        <v>3</v>
      </c>
      <c r="F33" s="357">
        <v>19</v>
      </c>
      <c r="G33" s="353"/>
    </row>
    <row r="34" spans="2:8" ht="15" customHeight="1" x14ac:dyDescent="0.25">
      <c r="B34" s="277" t="s">
        <v>654</v>
      </c>
      <c r="C34" s="279">
        <v>12</v>
      </c>
      <c r="D34" s="278"/>
      <c r="E34" s="279">
        <v>5</v>
      </c>
      <c r="F34" s="357">
        <v>17</v>
      </c>
      <c r="G34" s="353"/>
    </row>
    <row r="35" spans="2:8" ht="15" customHeight="1" x14ac:dyDescent="0.25">
      <c r="B35" s="277" t="s">
        <v>655</v>
      </c>
      <c r="C35" s="279">
        <v>14</v>
      </c>
      <c r="D35" s="278"/>
      <c r="E35" s="278"/>
      <c r="F35" s="357">
        <v>14</v>
      </c>
      <c r="G35" s="353"/>
    </row>
    <row r="36" spans="2:8" ht="15" customHeight="1" x14ac:dyDescent="0.25">
      <c r="B36" s="277" t="s">
        <v>656</v>
      </c>
      <c r="C36" s="278"/>
      <c r="D36" s="279">
        <v>11</v>
      </c>
      <c r="E36" s="278"/>
      <c r="F36" s="357">
        <v>11</v>
      </c>
      <c r="G36" s="353"/>
    </row>
    <row r="37" spans="2:8" ht="15" customHeight="1" x14ac:dyDescent="0.25">
      <c r="B37" s="277" t="s">
        <v>657</v>
      </c>
      <c r="C37" s="279">
        <v>7</v>
      </c>
      <c r="D37" s="278"/>
      <c r="E37" s="278"/>
      <c r="F37" s="357">
        <v>7</v>
      </c>
      <c r="G37" s="353"/>
    </row>
    <row r="38" spans="2:8" ht="15" customHeight="1" x14ac:dyDescent="0.25">
      <c r="B38" s="277" t="s">
        <v>658</v>
      </c>
      <c r="C38" s="279">
        <v>3</v>
      </c>
      <c r="D38" s="278"/>
      <c r="E38" s="279">
        <v>2</v>
      </c>
      <c r="F38" s="357">
        <v>5</v>
      </c>
      <c r="G38" s="353"/>
    </row>
    <row r="39" spans="2:8" ht="15" customHeight="1" x14ac:dyDescent="0.25">
      <c r="B39" s="277" t="s">
        <v>659</v>
      </c>
      <c r="C39" s="279">
        <v>4</v>
      </c>
      <c r="D39" s="278"/>
      <c r="E39" s="278"/>
      <c r="F39" s="357">
        <v>4</v>
      </c>
      <c r="G39" s="353"/>
    </row>
    <row r="40" spans="2:8" ht="15" customHeight="1" x14ac:dyDescent="0.25">
      <c r="B40" s="277" t="s">
        <v>660</v>
      </c>
      <c r="C40" s="278"/>
      <c r="D40" s="278"/>
      <c r="E40" s="279">
        <v>3</v>
      </c>
      <c r="F40" s="357">
        <v>3</v>
      </c>
      <c r="G40" s="353"/>
    </row>
    <row r="41" spans="2:8" ht="15" customHeight="1" x14ac:dyDescent="0.25">
      <c r="B41" s="344" t="s">
        <v>45</v>
      </c>
      <c r="C41" s="344">
        <f>SUM(C27:C40)</f>
        <v>312</v>
      </c>
      <c r="D41" s="344">
        <f t="shared" ref="D41:F41" si="0">SUM(D27:D40)</f>
        <v>380</v>
      </c>
      <c r="E41" s="344">
        <f t="shared" si="0"/>
        <v>61</v>
      </c>
      <c r="F41" s="344">
        <f t="shared" si="0"/>
        <v>753</v>
      </c>
      <c r="G41" s="353"/>
    </row>
    <row r="42" spans="2:8" x14ac:dyDescent="0.25">
      <c r="B42" s="13" t="s">
        <v>53</v>
      </c>
      <c r="C42" s="8"/>
      <c r="D42" s="8"/>
      <c r="E42" s="8"/>
      <c r="F42" s="8"/>
      <c r="G42" s="8"/>
      <c r="H42" s="8"/>
    </row>
    <row r="43" spans="2:8" x14ac:dyDescent="0.25">
      <c r="B43" s="13"/>
      <c r="C43" s="8"/>
      <c r="D43" s="8"/>
      <c r="E43" s="8"/>
      <c r="F43" s="8"/>
      <c r="G43" s="8"/>
      <c r="H43" s="8"/>
    </row>
    <row r="44" spans="2:8" x14ac:dyDescent="0.25">
      <c r="B44" s="77"/>
      <c r="C44" s="8"/>
      <c r="D44" s="8"/>
      <c r="E44" s="8"/>
      <c r="F44" s="8"/>
      <c r="G44" s="8"/>
      <c r="H44" s="8"/>
    </row>
    <row r="49" spans="2:7" ht="15.75" customHeight="1" x14ac:dyDescent="0.25">
      <c r="B49" s="19" t="s">
        <v>669</v>
      </c>
      <c r="C49" s="8"/>
      <c r="D49" s="8"/>
      <c r="E49" s="8"/>
      <c r="F49" s="8"/>
    </row>
    <row r="50" spans="2:7" ht="15" customHeight="1" x14ac:dyDescent="0.25">
      <c r="B50" s="343" t="s">
        <v>100</v>
      </c>
      <c r="C50" s="360" t="s">
        <v>44</v>
      </c>
      <c r="D50" s="360"/>
      <c r="E50" s="360"/>
      <c r="F50" s="360"/>
      <c r="G50" s="343" t="s">
        <v>45</v>
      </c>
    </row>
    <row r="51" spans="2:7" ht="15.75" customHeight="1" x14ac:dyDescent="0.25">
      <c r="B51" s="343"/>
      <c r="C51" s="355" t="s">
        <v>59</v>
      </c>
      <c r="D51" s="355" t="s">
        <v>60</v>
      </c>
      <c r="E51" s="355" t="s">
        <v>71</v>
      </c>
      <c r="F51" s="361" t="s">
        <v>50</v>
      </c>
      <c r="G51" s="343"/>
    </row>
    <row r="52" spans="2:7" ht="15" customHeight="1" x14ac:dyDescent="0.25">
      <c r="B52" s="277" t="s">
        <v>102</v>
      </c>
      <c r="C52" s="279">
        <v>15000</v>
      </c>
      <c r="D52" s="279">
        <v>30000</v>
      </c>
      <c r="E52" s="279">
        <v>2006310</v>
      </c>
      <c r="F52" s="279">
        <v>91100</v>
      </c>
      <c r="G52" s="279">
        <v>2142410</v>
      </c>
    </row>
    <row r="53" spans="2:7" ht="15" customHeight="1" x14ac:dyDescent="0.25">
      <c r="B53" s="277" t="s">
        <v>104</v>
      </c>
      <c r="C53" s="279">
        <v>5000</v>
      </c>
      <c r="D53" s="278"/>
      <c r="E53" s="279">
        <v>410800</v>
      </c>
      <c r="F53" s="279">
        <v>54000</v>
      </c>
      <c r="G53" s="279">
        <v>469800</v>
      </c>
    </row>
    <row r="54" spans="2:7" ht="15" customHeight="1" x14ac:dyDescent="0.25">
      <c r="B54" s="277" t="s">
        <v>106</v>
      </c>
      <c r="C54" s="279">
        <v>5000</v>
      </c>
      <c r="D54" s="278"/>
      <c r="E54" s="279">
        <v>409000</v>
      </c>
      <c r="F54" s="279">
        <v>53000</v>
      </c>
      <c r="G54" s="279">
        <v>467000</v>
      </c>
    </row>
    <row r="55" spans="2:7" ht="15" customHeight="1" x14ac:dyDescent="0.25">
      <c r="B55" s="277" t="s">
        <v>101</v>
      </c>
      <c r="C55" s="279">
        <v>1000</v>
      </c>
      <c r="D55" s="278"/>
      <c r="E55" s="279">
        <v>367560</v>
      </c>
      <c r="F55" s="279">
        <v>57400</v>
      </c>
      <c r="G55" s="279">
        <v>425960</v>
      </c>
    </row>
    <row r="56" spans="2:7" ht="15" customHeight="1" x14ac:dyDescent="0.25">
      <c r="B56" s="277" t="s">
        <v>117</v>
      </c>
      <c r="C56" s="279">
        <v>1000</v>
      </c>
      <c r="D56" s="278"/>
      <c r="E56" s="279">
        <v>351000</v>
      </c>
      <c r="F56" s="279">
        <v>50000</v>
      </c>
      <c r="G56" s="279">
        <v>402000</v>
      </c>
    </row>
    <row r="57" spans="2:7" ht="15" customHeight="1" x14ac:dyDescent="0.25">
      <c r="B57" s="277" t="s">
        <v>114</v>
      </c>
      <c r="C57" s="279">
        <v>5000</v>
      </c>
      <c r="D57" s="278"/>
      <c r="E57" s="279">
        <v>292500</v>
      </c>
      <c r="F57" s="279">
        <v>67200</v>
      </c>
      <c r="G57" s="279">
        <v>364700</v>
      </c>
    </row>
    <row r="58" spans="2:7" ht="15" customHeight="1" x14ac:dyDescent="0.25">
      <c r="B58" s="277" t="s">
        <v>107</v>
      </c>
      <c r="C58" s="279">
        <v>500</v>
      </c>
      <c r="D58" s="278"/>
      <c r="E58" s="279">
        <v>148400</v>
      </c>
      <c r="F58" s="279">
        <v>53000</v>
      </c>
      <c r="G58" s="279">
        <v>201900</v>
      </c>
    </row>
    <row r="59" spans="2:7" ht="15" customHeight="1" x14ac:dyDescent="0.25">
      <c r="B59" s="277" t="s">
        <v>103</v>
      </c>
      <c r="C59" s="279">
        <v>1000</v>
      </c>
      <c r="D59" s="278"/>
      <c r="E59" s="279">
        <v>145100</v>
      </c>
      <c r="F59" s="279">
        <v>42800</v>
      </c>
      <c r="G59" s="279">
        <v>188900</v>
      </c>
    </row>
    <row r="60" spans="2:7" ht="15" customHeight="1" x14ac:dyDescent="0.25">
      <c r="B60" s="277" t="s">
        <v>661</v>
      </c>
      <c r="C60" s="279">
        <v>500</v>
      </c>
      <c r="D60" s="278"/>
      <c r="E60" s="279">
        <v>133600</v>
      </c>
      <c r="F60" s="279">
        <v>51500</v>
      </c>
      <c r="G60" s="279">
        <v>185600</v>
      </c>
    </row>
    <row r="61" spans="2:7" ht="15" customHeight="1" x14ac:dyDescent="0.25">
      <c r="B61" s="277" t="s">
        <v>111</v>
      </c>
      <c r="C61" s="279">
        <v>500</v>
      </c>
      <c r="D61" s="278"/>
      <c r="E61" s="279">
        <v>131300</v>
      </c>
      <c r="F61" s="279">
        <v>51000</v>
      </c>
      <c r="G61" s="279">
        <v>182800</v>
      </c>
    </row>
    <row r="62" spans="2:7" ht="15" customHeight="1" x14ac:dyDescent="0.25">
      <c r="B62" s="277" t="s">
        <v>662</v>
      </c>
      <c r="C62" s="278"/>
      <c r="D62" s="278"/>
      <c r="E62" s="279">
        <v>94400</v>
      </c>
      <c r="F62" s="279">
        <v>63600</v>
      </c>
      <c r="G62" s="279">
        <v>158000</v>
      </c>
    </row>
    <row r="63" spans="2:7" ht="15" customHeight="1" x14ac:dyDescent="0.25">
      <c r="B63" s="277" t="s">
        <v>663</v>
      </c>
      <c r="C63" s="278"/>
      <c r="D63" s="278"/>
      <c r="E63" s="279">
        <v>97530</v>
      </c>
      <c r="F63" s="279">
        <v>55000</v>
      </c>
      <c r="G63" s="279">
        <v>152530</v>
      </c>
    </row>
    <row r="64" spans="2:7" ht="15" customHeight="1" x14ac:dyDescent="0.25">
      <c r="B64" s="277" t="s">
        <v>664</v>
      </c>
      <c r="C64" s="279">
        <v>500</v>
      </c>
      <c r="D64" s="278"/>
      <c r="E64" s="279">
        <v>91100</v>
      </c>
      <c r="F64" s="279">
        <v>48600</v>
      </c>
      <c r="G64" s="279">
        <v>140200</v>
      </c>
    </row>
    <row r="65" spans="2:32" ht="15" customHeight="1" x14ac:dyDescent="0.25">
      <c r="B65" s="277" t="s">
        <v>665</v>
      </c>
      <c r="C65" s="279">
        <v>500</v>
      </c>
      <c r="D65" s="278"/>
      <c r="E65" s="279">
        <v>69300</v>
      </c>
      <c r="F65" s="279">
        <v>49000</v>
      </c>
      <c r="G65" s="279">
        <v>118800</v>
      </c>
    </row>
    <row r="66" spans="2:32" ht="15" customHeight="1" x14ac:dyDescent="0.25">
      <c r="B66" s="277" t="s">
        <v>108</v>
      </c>
      <c r="C66" s="279">
        <v>1000</v>
      </c>
      <c r="D66" s="278"/>
      <c r="E66" s="279">
        <v>65000</v>
      </c>
      <c r="F66" s="279">
        <v>51000</v>
      </c>
      <c r="G66" s="279">
        <v>117000</v>
      </c>
    </row>
    <row r="67" spans="2:32" ht="15" customHeight="1" x14ac:dyDescent="0.25">
      <c r="B67" s="277" t="s">
        <v>112</v>
      </c>
      <c r="C67" s="279">
        <v>500</v>
      </c>
      <c r="D67" s="278"/>
      <c r="E67" s="279">
        <v>70805</v>
      </c>
      <c r="F67" s="279">
        <v>44500</v>
      </c>
      <c r="G67" s="279">
        <v>115805</v>
      </c>
    </row>
    <row r="68" spans="2:32" ht="15" customHeight="1" x14ac:dyDescent="0.25">
      <c r="B68" s="277" t="s">
        <v>666</v>
      </c>
      <c r="C68" s="279">
        <v>1000</v>
      </c>
      <c r="D68" s="278"/>
      <c r="E68" s="279">
        <v>66200</v>
      </c>
      <c r="F68" s="279">
        <v>48000</v>
      </c>
      <c r="G68" s="279">
        <v>115200</v>
      </c>
    </row>
    <row r="69" spans="2:32" ht="15" customHeight="1" x14ac:dyDescent="0.25">
      <c r="B69" s="277" t="s">
        <v>667</v>
      </c>
      <c r="C69" s="278"/>
      <c r="D69" s="278"/>
      <c r="E69" s="279">
        <v>61210</v>
      </c>
      <c r="F69" s="279">
        <v>53000</v>
      </c>
      <c r="G69" s="279">
        <v>114210</v>
      </c>
    </row>
    <row r="70" spans="2:32" ht="15" customHeight="1" x14ac:dyDescent="0.25">
      <c r="B70" s="277" t="s">
        <v>116</v>
      </c>
      <c r="C70" s="279">
        <v>500</v>
      </c>
      <c r="D70" s="278"/>
      <c r="E70" s="279">
        <v>64000</v>
      </c>
      <c r="F70" s="279">
        <v>48000</v>
      </c>
      <c r="G70" s="279">
        <v>112500</v>
      </c>
    </row>
    <row r="71" spans="2:32" ht="15" customHeight="1" x14ac:dyDescent="0.25">
      <c r="B71" s="277" t="s">
        <v>668</v>
      </c>
      <c r="C71" s="278"/>
      <c r="D71" s="340">
        <v>100</v>
      </c>
      <c r="E71" s="340">
        <v>49030</v>
      </c>
      <c r="F71" s="279">
        <v>54100</v>
      </c>
      <c r="G71" s="279">
        <v>103230</v>
      </c>
    </row>
    <row r="72" spans="2:32" ht="15" customHeight="1" x14ac:dyDescent="0.25">
      <c r="B72" s="362" t="s">
        <v>121</v>
      </c>
      <c r="C72" s="344">
        <f>SUM(C52:C71)</f>
        <v>38500</v>
      </c>
      <c r="D72" s="344">
        <f>SUM(D52:D71)</f>
        <v>30100</v>
      </c>
      <c r="E72" s="344">
        <f>SUM(E52:E71)</f>
        <v>5124145</v>
      </c>
      <c r="F72" s="344">
        <f t="shared" ref="F72:G72" si="1">SUM(F52:F71)</f>
        <v>1085800</v>
      </c>
      <c r="G72" s="344">
        <f t="shared" si="1"/>
        <v>6278545</v>
      </c>
    </row>
    <row r="73" spans="2:32" ht="15" customHeight="1" x14ac:dyDescent="0.25">
      <c r="B73" s="362" t="s">
        <v>45</v>
      </c>
      <c r="C73" s="344">
        <v>47000</v>
      </c>
      <c r="D73" s="344">
        <v>30900</v>
      </c>
      <c r="E73" s="344">
        <v>5892050</v>
      </c>
      <c r="F73" s="344">
        <v>3727903</v>
      </c>
      <c r="G73" s="344">
        <v>9697853</v>
      </c>
    </row>
    <row r="74" spans="2:32" ht="15.75" customHeight="1" x14ac:dyDescent="0.25">
      <c r="B74" s="358" t="s">
        <v>53</v>
      </c>
      <c r="C74" s="359"/>
      <c r="D74" s="359"/>
      <c r="E74" s="359"/>
      <c r="F74" s="359"/>
      <c r="G74" s="353"/>
    </row>
    <row r="75" spans="2:32" ht="15.75" customHeight="1" x14ac:dyDescent="0.25">
      <c r="B75" s="13"/>
      <c r="C75" s="8"/>
      <c r="D75" s="8"/>
      <c r="E75" s="8"/>
      <c r="F75" s="8"/>
    </row>
    <row r="76" spans="2:32" ht="15.75" customHeight="1" x14ac:dyDescent="0.25">
      <c r="B76" s="18"/>
      <c r="C76" s="8"/>
      <c r="D76" s="8"/>
      <c r="E76" s="8"/>
      <c r="F76" s="8"/>
    </row>
    <row r="77" spans="2:32" ht="15.75" customHeight="1" x14ac:dyDescent="0.25">
      <c r="B77" s="8"/>
      <c r="C77" s="8"/>
      <c r="D77" s="8"/>
      <c r="E77" s="8"/>
      <c r="F77" s="8"/>
    </row>
    <row r="78" spans="2:32" ht="15.75" customHeight="1" x14ac:dyDescent="0.25">
      <c r="B78" s="76" t="s">
        <v>99</v>
      </c>
      <c r="C78" s="8"/>
      <c r="D78" s="8"/>
      <c r="E78" s="8"/>
      <c r="F78" s="8"/>
    </row>
    <row r="79" spans="2:32" ht="15.75" customHeight="1" x14ac:dyDescent="0.25">
      <c r="B79" s="22" t="s">
        <v>670</v>
      </c>
      <c r="C79" s="8"/>
      <c r="D79" s="8"/>
      <c r="E79" s="8"/>
      <c r="F79" s="8"/>
      <c r="AE79" s="237" t="s">
        <v>625</v>
      </c>
      <c r="AF79" s="237" t="s">
        <v>626</v>
      </c>
    </row>
    <row r="80" spans="2:32" ht="15" customHeight="1" x14ac:dyDescent="0.25">
      <c r="AE80" s="245" t="s">
        <v>116</v>
      </c>
      <c r="AF80" s="246">
        <v>30400</v>
      </c>
    </row>
    <row r="81" spans="31:32" ht="15" customHeight="1" x14ac:dyDescent="0.25">
      <c r="AE81" s="245" t="s">
        <v>119</v>
      </c>
      <c r="AF81" s="246">
        <v>30800</v>
      </c>
    </row>
    <row r="82" spans="31:32" ht="15" customHeight="1" x14ac:dyDescent="0.25">
      <c r="AE82" s="245" t="s">
        <v>120</v>
      </c>
      <c r="AF82" s="246">
        <v>30800</v>
      </c>
    </row>
    <row r="83" spans="31:32" ht="15" customHeight="1" x14ac:dyDescent="0.25">
      <c r="AE83" s="245" t="s">
        <v>118</v>
      </c>
      <c r="AF83" s="246">
        <v>31800</v>
      </c>
    </row>
    <row r="84" spans="31:32" ht="15" customHeight="1" x14ac:dyDescent="0.25">
      <c r="AE84" s="245" t="s">
        <v>117</v>
      </c>
      <c r="AF84" s="246">
        <v>31900</v>
      </c>
    </row>
    <row r="85" spans="31:32" ht="15" customHeight="1" x14ac:dyDescent="0.25">
      <c r="AE85" s="245" t="s">
        <v>110</v>
      </c>
      <c r="AF85" s="246">
        <v>32800</v>
      </c>
    </row>
    <row r="86" spans="31:32" ht="15" customHeight="1" x14ac:dyDescent="0.25">
      <c r="AE86" s="245" t="s">
        <v>115</v>
      </c>
      <c r="AF86" s="246">
        <v>34800</v>
      </c>
    </row>
    <row r="87" spans="31:32" ht="15" customHeight="1" x14ac:dyDescent="0.25">
      <c r="AE87" s="245" t="s">
        <v>113</v>
      </c>
      <c r="AF87" s="246">
        <v>35400</v>
      </c>
    </row>
    <row r="88" spans="31:32" ht="15" customHeight="1" x14ac:dyDescent="0.25">
      <c r="AE88" s="245" t="s">
        <v>109</v>
      </c>
      <c r="AF88" s="246">
        <v>35900</v>
      </c>
    </row>
    <row r="89" spans="31:32" ht="15" customHeight="1" x14ac:dyDescent="0.25">
      <c r="AE89" s="245" t="s">
        <v>112</v>
      </c>
      <c r="AF89" s="246">
        <v>37400</v>
      </c>
    </row>
    <row r="90" spans="31:32" ht="15" customHeight="1" x14ac:dyDescent="0.25">
      <c r="AE90" s="245" t="s">
        <v>114</v>
      </c>
      <c r="AF90" s="246">
        <v>37400</v>
      </c>
    </row>
    <row r="91" spans="31:32" ht="15" customHeight="1" x14ac:dyDescent="0.25">
      <c r="AE91" s="245" t="s">
        <v>111</v>
      </c>
      <c r="AF91" s="246">
        <v>38800</v>
      </c>
    </row>
    <row r="92" spans="31:32" ht="15" customHeight="1" x14ac:dyDescent="0.25">
      <c r="AE92" s="245" t="s">
        <v>105</v>
      </c>
      <c r="AF92" s="246">
        <v>39300</v>
      </c>
    </row>
    <row r="93" spans="31:32" ht="15" customHeight="1" x14ac:dyDescent="0.25">
      <c r="AE93" s="245" t="s">
        <v>108</v>
      </c>
      <c r="AF93" s="246">
        <v>39900</v>
      </c>
    </row>
    <row r="94" spans="31:32" ht="15" customHeight="1" x14ac:dyDescent="0.25">
      <c r="AE94" s="245" t="s">
        <v>107</v>
      </c>
      <c r="AF94" s="246">
        <v>41900</v>
      </c>
    </row>
    <row r="95" spans="31:32" ht="15" customHeight="1" x14ac:dyDescent="0.25">
      <c r="AE95" s="245" t="s">
        <v>106</v>
      </c>
      <c r="AF95" s="246">
        <v>42400</v>
      </c>
    </row>
    <row r="96" spans="31:32" ht="15" customHeight="1" x14ac:dyDescent="0.25">
      <c r="AE96" s="245" t="s">
        <v>104</v>
      </c>
      <c r="AF96" s="246">
        <v>44900</v>
      </c>
    </row>
    <row r="97" spans="31:32" ht="15" customHeight="1" x14ac:dyDescent="0.25">
      <c r="AE97" s="245" t="s">
        <v>103</v>
      </c>
      <c r="AF97" s="246">
        <v>45400</v>
      </c>
    </row>
    <row r="98" spans="31:32" ht="15" customHeight="1" x14ac:dyDescent="0.25">
      <c r="AE98" s="245" t="s">
        <v>102</v>
      </c>
      <c r="AF98" s="246">
        <v>51400</v>
      </c>
    </row>
    <row r="99" spans="31:32" ht="15" customHeight="1" x14ac:dyDescent="0.25">
      <c r="AE99" s="245" t="s">
        <v>101</v>
      </c>
      <c r="AF99" s="246">
        <v>64600</v>
      </c>
    </row>
  </sheetData>
  <mergeCells count="8">
    <mergeCell ref="B50:B51"/>
    <mergeCell ref="B6:B7"/>
    <mergeCell ref="C6:D6"/>
    <mergeCell ref="B25:B26"/>
    <mergeCell ref="F25:F26"/>
    <mergeCell ref="C25:E25"/>
    <mergeCell ref="C50:F50"/>
    <mergeCell ref="G50:G51"/>
  </mergeCells>
  <hyperlinks>
    <hyperlink ref="A1" location="INDICE!A1" display="(Ir al Índice)" xr:uid="{E9477FB5-946D-40F7-BAD3-257921DFD602}"/>
  </hyperlink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B0D4"/>
  </sheetPr>
  <dimension ref="A1:AU51"/>
  <sheetViews>
    <sheetView showGridLines="0" zoomScale="70" zoomScaleNormal="70" zoomScaleSheetLayoutView="80" workbookViewId="0"/>
  </sheetViews>
  <sheetFormatPr baseColWidth="10" defaultColWidth="14.42578125" defaultRowHeight="15" customHeight="1" x14ac:dyDescent="0.25"/>
  <cols>
    <col min="1" max="1" width="4.28515625" customWidth="1"/>
    <col min="2" max="2" width="31.7109375" customWidth="1"/>
    <col min="3" max="3" width="18.42578125" customWidth="1"/>
    <col min="4" max="4" width="15.42578125" customWidth="1"/>
    <col min="5" max="5" width="15.28515625" customWidth="1"/>
    <col min="6" max="6" width="15.140625" customWidth="1"/>
    <col min="7" max="7" width="11.5703125" customWidth="1"/>
    <col min="8" max="8" width="16" customWidth="1"/>
    <col min="9" max="9" width="11.140625" customWidth="1"/>
    <col min="10" max="24" width="11.5703125" customWidth="1"/>
    <col min="25" max="25" width="36.7109375" customWidth="1"/>
    <col min="26" max="41" width="11.5703125" customWidth="1"/>
  </cols>
  <sheetData>
    <row r="1" spans="1:47" x14ac:dyDescent="0.25">
      <c r="A1" s="78" t="s">
        <v>43</v>
      </c>
    </row>
    <row r="3" spans="1:47" x14ac:dyDescent="0.25">
      <c r="B3" s="4" t="s">
        <v>12</v>
      </c>
      <c r="J3" s="76" t="s">
        <v>122</v>
      </c>
    </row>
    <row r="4" spans="1:47" x14ac:dyDescent="0.25">
      <c r="B4" s="4" t="s">
        <v>124</v>
      </c>
      <c r="J4" s="22" t="s">
        <v>672</v>
      </c>
      <c r="AQ4" s="237"/>
      <c r="AR4" s="237"/>
      <c r="AS4" s="237"/>
      <c r="AT4" s="237"/>
      <c r="AU4" s="237"/>
    </row>
    <row r="5" spans="1:47" x14ac:dyDescent="0.25">
      <c r="B5" s="19" t="s">
        <v>671</v>
      </c>
      <c r="AQ5" s="237"/>
      <c r="AR5" s="237"/>
      <c r="AS5" s="237"/>
      <c r="AT5" s="237"/>
      <c r="AU5" s="237"/>
    </row>
    <row r="6" spans="1:47" ht="15" customHeight="1" x14ac:dyDescent="0.25">
      <c r="A6" s="8"/>
      <c r="B6" s="365" t="s">
        <v>44</v>
      </c>
      <c r="C6" s="365" t="s">
        <v>125</v>
      </c>
      <c r="D6" s="365"/>
      <c r="E6" s="366" t="s">
        <v>45</v>
      </c>
      <c r="F6" s="363"/>
      <c r="G6" s="8"/>
      <c r="H6" s="8"/>
      <c r="I6" s="8"/>
      <c r="J6" s="8"/>
      <c r="AQ6" s="237"/>
      <c r="AR6" s="237"/>
      <c r="AS6" s="237"/>
      <c r="AT6" s="237"/>
      <c r="AU6" s="237"/>
    </row>
    <row r="7" spans="1:47" x14ac:dyDescent="0.25">
      <c r="A7" s="8"/>
      <c r="B7" s="349"/>
      <c r="C7" s="367" t="s">
        <v>126</v>
      </c>
      <c r="D7" s="367" t="s">
        <v>128</v>
      </c>
      <c r="E7" s="366"/>
      <c r="F7" s="364"/>
      <c r="G7" s="8"/>
      <c r="H7" s="8"/>
      <c r="I7" s="8"/>
      <c r="AP7" s="247" t="s">
        <v>44</v>
      </c>
      <c r="AQ7" s="248" t="s">
        <v>126</v>
      </c>
      <c r="AR7" s="248" t="s">
        <v>127</v>
      </c>
      <c r="AS7" s="248" t="s">
        <v>128</v>
      </c>
      <c r="AT7" s="237"/>
    </row>
    <row r="8" spans="1:47" ht="15" customHeight="1" x14ac:dyDescent="0.25">
      <c r="A8" s="8"/>
      <c r="B8" s="277" t="s">
        <v>66</v>
      </c>
      <c r="C8" s="368"/>
      <c r="D8" s="279">
        <v>2</v>
      </c>
      <c r="E8" s="357">
        <v>2</v>
      </c>
      <c r="F8" s="364"/>
      <c r="G8" s="8"/>
      <c r="H8" s="8"/>
      <c r="I8" s="8"/>
      <c r="AP8" s="249" t="s">
        <v>52</v>
      </c>
      <c r="AQ8" s="250"/>
      <c r="AR8" s="250">
        <v>2</v>
      </c>
      <c r="AS8" s="250"/>
      <c r="AT8" s="237"/>
    </row>
    <row r="9" spans="1:47" ht="15" customHeight="1" x14ac:dyDescent="0.25">
      <c r="A9" s="8"/>
      <c r="B9" s="277" t="s">
        <v>68</v>
      </c>
      <c r="C9" s="279">
        <v>1</v>
      </c>
      <c r="D9" s="279">
        <v>1</v>
      </c>
      <c r="E9" s="357">
        <v>2</v>
      </c>
      <c r="F9" s="364"/>
      <c r="G9" s="8"/>
      <c r="H9" s="8"/>
      <c r="I9" s="8"/>
      <c r="AP9" s="249" t="s">
        <v>79</v>
      </c>
      <c r="AQ9" s="236"/>
      <c r="AR9" s="236">
        <v>2</v>
      </c>
      <c r="AS9" s="236"/>
      <c r="AT9" s="237"/>
    </row>
    <row r="10" spans="1:47" ht="15" customHeight="1" x14ac:dyDescent="0.25">
      <c r="A10" s="8"/>
      <c r="B10" s="277" t="s">
        <v>58</v>
      </c>
      <c r="C10" s="279">
        <v>2</v>
      </c>
      <c r="D10" s="279">
        <v>1</v>
      </c>
      <c r="E10" s="357">
        <v>3</v>
      </c>
      <c r="F10" s="364"/>
      <c r="G10" s="8"/>
      <c r="H10" s="8"/>
      <c r="I10" s="8"/>
      <c r="AP10" s="249" t="s">
        <v>51</v>
      </c>
      <c r="AQ10" s="236"/>
      <c r="AR10" s="236">
        <v>1</v>
      </c>
      <c r="AS10" s="236">
        <v>1</v>
      </c>
      <c r="AT10" s="237"/>
    </row>
    <row r="11" spans="1:47" ht="15" customHeight="1" x14ac:dyDescent="0.25">
      <c r="A11" s="8"/>
      <c r="B11" s="277" t="s">
        <v>69</v>
      </c>
      <c r="C11" s="368"/>
      <c r="D11" s="340">
        <v>1</v>
      </c>
      <c r="E11" s="357">
        <v>1</v>
      </c>
      <c r="F11" s="364"/>
      <c r="G11" s="8"/>
      <c r="H11" s="8"/>
      <c r="I11" s="8"/>
      <c r="AP11" s="249" t="s">
        <v>61</v>
      </c>
      <c r="AQ11" s="236"/>
      <c r="AR11" s="236">
        <v>4</v>
      </c>
      <c r="AS11" s="236"/>
      <c r="AT11" s="237"/>
    </row>
    <row r="12" spans="1:47" ht="15" customHeight="1" x14ac:dyDescent="0.25">
      <c r="A12" s="8"/>
      <c r="B12" s="277" t="s">
        <v>59</v>
      </c>
      <c r="C12" s="279">
        <v>1</v>
      </c>
      <c r="D12" s="340">
        <v>10</v>
      </c>
      <c r="E12" s="357">
        <v>11</v>
      </c>
      <c r="F12" s="364"/>
      <c r="G12" s="8"/>
      <c r="H12" s="8"/>
      <c r="I12" s="8"/>
      <c r="AP12" s="249" t="s">
        <v>73</v>
      </c>
      <c r="AQ12" s="236"/>
      <c r="AR12" s="236">
        <v>2</v>
      </c>
      <c r="AS12" s="236"/>
      <c r="AT12" s="237"/>
    </row>
    <row r="13" spans="1:47" ht="15" customHeight="1" x14ac:dyDescent="0.25">
      <c r="A13" s="8"/>
      <c r="B13" s="277" t="s">
        <v>60</v>
      </c>
      <c r="C13" s="368"/>
      <c r="D13" s="340">
        <v>7</v>
      </c>
      <c r="E13" s="357">
        <v>7</v>
      </c>
      <c r="F13" s="364"/>
      <c r="G13" s="8"/>
      <c r="H13" s="8"/>
      <c r="I13" s="8"/>
      <c r="AP13" s="249" t="s">
        <v>72</v>
      </c>
      <c r="AQ13" s="236"/>
      <c r="AR13" s="236"/>
      <c r="AS13" s="236">
        <v>1</v>
      </c>
      <c r="AT13" s="237"/>
    </row>
    <row r="14" spans="1:47" ht="15" customHeight="1" x14ac:dyDescent="0.25">
      <c r="A14" s="8"/>
      <c r="B14" s="277" t="s">
        <v>70</v>
      </c>
      <c r="C14" s="368"/>
      <c r="D14" s="340">
        <v>2</v>
      </c>
      <c r="E14" s="357">
        <v>2</v>
      </c>
      <c r="F14" s="364"/>
      <c r="G14" s="8"/>
      <c r="H14" s="8"/>
      <c r="I14" s="8"/>
      <c r="AP14" s="249" t="s">
        <v>70</v>
      </c>
      <c r="AQ14" s="236"/>
      <c r="AR14" s="236">
        <v>1</v>
      </c>
      <c r="AS14" s="236"/>
      <c r="AT14" s="237"/>
    </row>
    <row r="15" spans="1:47" ht="15" customHeight="1" x14ac:dyDescent="0.25">
      <c r="A15" s="8"/>
      <c r="B15" s="277" t="s">
        <v>71</v>
      </c>
      <c r="C15" s="368"/>
      <c r="D15" s="340">
        <v>1</v>
      </c>
      <c r="E15" s="357">
        <v>1</v>
      </c>
      <c r="F15" s="364"/>
      <c r="G15" s="8"/>
      <c r="H15" s="8"/>
      <c r="I15" s="8"/>
      <c r="AP15" s="249" t="s">
        <v>60</v>
      </c>
      <c r="AQ15" s="236">
        <v>3</v>
      </c>
      <c r="AR15" s="236">
        <v>7</v>
      </c>
      <c r="AS15" s="236"/>
      <c r="AT15" s="237"/>
    </row>
    <row r="16" spans="1:47" ht="15" customHeight="1" x14ac:dyDescent="0.25">
      <c r="A16" s="8"/>
      <c r="B16" s="277" t="s">
        <v>73</v>
      </c>
      <c r="C16" s="368"/>
      <c r="D16" s="340">
        <v>1</v>
      </c>
      <c r="E16" s="357">
        <v>1</v>
      </c>
      <c r="F16" s="364"/>
      <c r="G16" s="8"/>
      <c r="H16" s="8"/>
      <c r="I16" s="8"/>
      <c r="AP16" s="249" t="s">
        <v>59</v>
      </c>
      <c r="AQ16" s="236">
        <v>2</v>
      </c>
      <c r="AR16" s="236">
        <v>16</v>
      </c>
      <c r="AS16" s="236"/>
      <c r="AT16" s="237"/>
    </row>
    <row r="17" spans="2:47" ht="15" customHeight="1" x14ac:dyDescent="0.25">
      <c r="B17" s="277" t="s">
        <v>61</v>
      </c>
      <c r="C17" s="368"/>
      <c r="D17" s="340">
        <v>2</v>
      </c>
      <c r="E17" s="357">
        <v>2</v>
      </c>
      <c r="F17" s="364"/>
      <c r="AP17" s="249" t="s">
        <v>69</v>
      </c>
      <c r="AQ17" s="236"/>
      <c r="AR17" s="236">
        <v>1</v>
      </c>
      <c r="AS17" s="236"/>
      <c r="AT17" s="237"/>
    </row>
    <row r="18" spans="2:47" ht="15" customHeight="1" x14ac:dyDescent="0.25">
      <c r="B18" s="277" t="s">
        <v>51</v>
      </c>
      <c r="C18" s="279">
        <v>1</v>
      </c>
      <c r="D18" s="340">
        <v>1</v>
      </c>
      <c r="E18" s="357">
        <v>2</v>
      </c>
      <c r="F18" s="364"/>
      <c r="AP18" s="249"/>
      <c r="AQ18" s="236"/>
      <c r="AR18" s="236"/>
      <c r="AS18" s="236"/>
      <c r="AT18" s="237"/>
    </row>
    <row r="19" spans="2:47" ht="15" customHeight="1" x14ac:dyDescent="0.25">
      <c r="B19" s="277" t="s">
        <v>76</v>
      </c>
      <c r="C19" s="368"/>
      <c r="D19" s="340">
        <v>1</v>
      </c>
      <c r="E19" s="357">
        <v>1</v>
      </c>
      <c r="F19" s="364"/>
      <c r="AP19" s="249"/>
      <c r="AQ19" s="236"/>
      <c r="AR19" s="236"/>
      <c r="AS19" s="236"/>
      <c r="AT19" s="237"/>
    </row>
    <row r="20" spans="2:47" ht="15" customHeight="1" x14ac:dyDescent="0.25">
      <c r="B20" s="277" t="s">
        <v>79</v>
      </c>
      <c r="C20" s="340">
        <v>1</v>
      </c>
      <c r="D20" s="340">
        <v>2</v>
      </c>
      <c r="E20" s="357">
        <v>3</v>
      </c>
      <c r="F20" s="364"/>
      <c r="AP20" s="249"/>
      <c r="AQ20" s="236"/>
      <c r="AR20" s="236"/>
      <c r="AS20" s="236"/>
      <c r="AT20" s="237"/>
    </row>
    <row r="21" spans="2:47" ht="15" customHeight="1" x14ac:dyDescent="0.25">
      <c r="B21" s="277" t="s">
        <v>52</v>
      </c>
      <c r="C21" s="279">
        <v>1</v>
      </c>
      <c r="D21" s="340">
        <v>2</v>
      </c>
      <c r="E21" s="357">
        <v>3</v>
      </c>
      <c r="F21" s="364"/>
      <c r="AP21" s="249" t="s">
        <v>58</v>
      </c>
      <c r="AQ21" s="236">
        <v>4</v>
      </c>
      <c r="AR21" s="236">
        <v>2</v>
      </c>
      <c r="AS21" s="236"/>
      <c r="AT21" s="237"/>
    </row>
    <row r="22" spans="2:47" ht="15" customHeight="1" x14ac:dyDescent="0.25">
      <c r="B22" s="346" t="s">
        <v>45</v>
      </c>
      <c r="C22" s="344">
        <f>+SUM(C8:C21)</f>
        <v>7</v>
      </c>
      <c r="D22" s="344">
        <f>+SUM(D8:D21)</f>
        <v>34</v>
      </c>
      <c r="E22" s="344">
        <f>+SUM(E8:E21)</f>
        <v>41</v>
      </c>
      <c r="F22" s="364"/>
      <c r="AP22" s="237"/>
      <c r="AQ22" s="237"/>
      <c r="AR22" s="237"/>
      <c r="AS22" s="237"/>
      <c r="AT22" s="237"/>
    </row>
    <row r="23" spans="2:47" x14ac:dyDescent="0.25">
      <c r="B23" s="13" t="s">
        <v>53</v>
      </c>
      <c r="C23" s="8"/>
      <c r="D23" s="8"/>
      <c r="E23" s="8"/>
      <c r="F23" s="8"/>
      <c r="G23" s="8"/>
      <c r="AQ23" s="237"/>
      <c r="AR23" s="237"/>
      <c r="AS23" s="237"/>
      <c r="AT23" s="237"/>
      <c r="AU23" s="237"/>
    </row>
    <row r="24" spans="2:47" x14ac:dyDescent="0.25">
      <c r="B24" s="8"/>
      <c r="C24" s="8"/>
      <c r="D24" s="8"/>
      <c r="E24" s="8"/>
      <c r="F24" s="8"/>
      <c r="G24" s="8"/>
    </row>
    <row r="25" spans="2:47" x14ac:dyDescent="0.25">
      <c r="B25" s="8"/>
      <c r="C25" s="8"/>
      <c r="D25" s="8"/>
      <c r="E25" s="8"/>
      <c r="F25" s="8"/>
      <c r="G25" s="8"/>
    </row>
    <row r="27" spans="2:47" ht="15.75" customHeight="1" x14ac:dyDescent="0.25">
      <c r="B27" s="32"/>
      <c r="C27" s="8"/>
      <c r="D27" s="8"/>
      <c r="E27" s="8"/>
      <c r="F27" s="8"/>
      <c r="G27" s="8"/>
    </row>
    <row r="28" spans="2:47" ht="15.75" customHeight="1" x14ac:dyDescent="0.25">
      <c r="B28" s="32"/>
      <c r="C28" s="8"/>
      <c r="D28" s="8"/>
      <c r="E28" s="8"/>
      <c r="F28" s="8"/>
      <c r="G28" s="8"/>
    </row>
    <row r="29" spans="2:47" ht="15.75" customHeight="1" x14ac:dyDescent="0.25">
      <c r="B29" s="32"/>
      <c r="C29" s="8"/>
      <c r="D29" s="8"/>
      <c r="E29" s="8"/>
      <c r="F29" s="8"/>
      <c r="G29" s="8"/>
    </row>
    <row r="30" spans="2:47" ht="15.75" customHeight="1" x14ac:dyDescent="0.25">
      <c r="B30" s="32"/>
      <c r="C30" s="8"/>
      <c r="D30" s="8"/>
      <c r="E30" s="8"/>
      <c r="F30" s="8"/>
      <c r="G30" s="8"/>
    </row>
    <row r="31" spans="2:47" ht="15.75" customHeight="1" x14ac:dyDescent="0.25">
      <c r="B31" s="19" t="s">
        <v>679</v>
      </c>
      <c r="C31" s="8"/>
      <c r="D31" s="8"/>
      <c r="E31" s="8"/>
      <c r="F31" s="8"/>
      <c r="G31" s="8"/>
      <c r="J31" s="76" t="s">
        <v>123</v>
      </c>
    </row>
    <row r="32" spans="2:47" ht="15" customHeight="1" x14ac:dyDescent="0.25">
      <c r="B32" s="343" t="s">
        <v>125</v>
      </c>
      <c r="C32" s="369" t="s">
        <v>561</v>
      </c>
      <c r="D32" s="349"/>
      <c r="E32" s="349"/>
      <c r="F32" s="349"/>
      <c r="G32" s="348" t="s">
        <v>45</v>
      </c>
      <c r="J32" s="22" t="s">
        <v>680</v>
      </c>
    </row>
    <row r="33" spans="2:10" ht="15.75" customHeight="1" x14ac:dyDescent="0.25">
      <c r="B33" s="349"/>
      <c r="C33" s="370" t="s">
        <v>129</v>
      </c>
      <c r="D33" s="370" t="s">
        <v>130</v>
      </c>
      <c r="E33" s="370" t="s">
        <v>131</v>
      </c>
      <c r="F33" s="337" t="s">
        <v>132</v>
      </c>
      <c r="G33" s="349"/>
    </row>
    <row r="34" spans="2:10" ht="15" customHeight="1" x14ac:dyDescent="0.25">
      <c r="B34" s="277" t="s">
        <v>126</v>
      </c>
      <c r="C34" s="279">
        <v>70</v>
      </c>
      <c r="D34" s="279">
        <v>17</v>
      </c>
      <c r="E34" s="279">
        <v>4</v>
      </c>
      <c r="F34" s="279">
        <v>24</v>
      </c>
      <c r="G34" s="357">
        <v>115</v>
      </c>
    </row>
    <row r="35" spans="2:10" ht="15" customHeight="1" x14ac:dyDescent="0.25">
      <c r="B35" s="277" t="s">
        <v>673</v>
      </c>
      <c r="C35" s="279">
        <v>1</v>
      </c>
      <c r="D35" s="368"/>
      <c r="E35" s="368"/>
      <c r="F35" s="340">
        <v>0</v>
      </c>
      <c r="G35" s="357">
        <v>1</v>
      </c>
    </row>
    <row r="36" spans="2:10" ht="15" customHeight="1" x14ac:dyDescent="0.25">
      <c r="B36" s="277" t="s">
        <v>674</v>
      </c>
      <c r="C36" s="279">
        <v>15</v>
      </c>
      <c r="D36" s="279">
        <v>4</v>
      </c>
      <c r="E36" s="368"/>
      <c r="F36" s="279">
        <v>1</v>
      </c>
      <c r="G36" s="357">
        <v>20</v>
      </c>
      <c r="H36" s="8"/>
      <c r="I36" s="8"/>
      <c r="J36" s="8"/>
    </row>
    <row r="37" spans="2:10" ht="15" customHeight="1" x14ac:dyDescent="0.25">
      <c r="B37" s="277" t="s">
        <v>675</v>
      </c>
      <c r="C37" s="368"/>
      <c r="D37" s="340">
        <v>1</v>
      </c>
      <c r="E37" s="368"/>
      <c r="F37" s="340">
        <v>0</v>
      </c>
      <c r="G37" s="357">
        <v>1</v>
      </c>
      <c r="H37" s="8"/>
      <c r="I37" s="8"/>
      <c r="J37" s="8"/>
    </row>
    <row r="38" spans="2:10" ht="15" customHeight="1" x14ac:dyDescent="0.25">
      <c r="B38" s="277" t="s">
        <v>676</v>
      </c>
      <c r="C38" s="368"/>
      <c r="D38" s="368"/>
      <c r="E38" s="340">
        <v>1</v>
      </c>
      <c r="F38" s="340">
        <v>0</v>
      </c>
      <c r="G38" s="357">
        <v>1</v>
      </c>
      <c r="H38" s="8"/>
      <c r="I38" s="8"/>
      <c r="J38" s="8"/>
    </row>
    <row r="39" spans="2:10" ht="15" customHeight="1" x14ac:dyDescent="0.25">
      <c r="B39" s="277" t="s">
        <v>128</v>
      </c>
      <c r="C39" s="279">
        <v>47</v>
      </c>
      <c r="D39" s="340">
        <v>9</v>
      </c>
      <c r="E39" s="340">
        <v>5</v>
      </c>
      <c r="F39" s="340">
        <v>16</v>
      </c>
      <c r="G39" s="357">
        <v>77</v>
      </c>
      <c r="H39" s="8"/>
      <c r="I39" s="8"/>
      <c r="J39" s="8"/>
    </row>
    <row r="40" spans="2:10" ht="15" customHeight="1" x14ac:dyDescent="0.25">
      <c r="B40" s="277" t="s">
        <v>677</v>
      </c>
      <c r="C40" s="368"/>
      <c r="D40" s="368"/>
      <c r="E40" s="340">
        <v>1</v>
      </c>
      <c r="F40" s="340">
        <v>0</v>
      </c>
      <c r="G40" s="357">
        <v>1</v>
      </c>
      <c r="H40" s="8"/>
      <c r="I40" s="8"/>
      <c r="J40" s="8"/>
    </row>
    <row r="41" spans="2:10" ht="15" customHeight="1" x14ac:dyDescent="0.25">
      <c r="B41" s="277" t="s">
        <v>678</v>
      </c>
      <c r="C41" s="279">
        <v>1</v>
      </c>
      <c r="D41" s="368"/>
      <c r="E41" s="368"/>
      <c r="F41" s="340">
        <v>0</v>
      </c>
      <c r="G41" s="357">
        <v>1</v>
      </c>
      <c r="H41" s="8"/>
      <c r="I41" s="8"/>
      <c r="J41" s="8"/>
    </row>
    <row r="42" spans="2:10" ht="15" customHeight="1" x14ac:dyDescent="0.25">
      <c r="B42" s="277" t="s">
        <v>133</v>
      </c>
      <c r="C42" s="279">
        <v>2</v>
      </c>
      <c r="D42" s="368"/>
      <c r="E42" s="368"/>
      <c r="F42" s="279">
        <v>0</v>
      </c>
      <c r="G42" s="357">
        <v>2</v>
      </c>
      <c r="H42" s="8"/>
      <c r="I42" s="8"/>
      <c r="J42" s="8"/>
    </row>
    <row r="43" spans="2:10" ht="15" customHeight="1" x14ac:dyDescent="0.25">
      <c r="B43" s="371" t="s">
        <v>45</v>
      </c>
      <c r="C43" s="344">
        <f>SUM(C34:C42)</f>
        <v>136</v>
      </c>
      <c r="D43" s="344">
        <f>SUM(D34:D42)</f>
        <v>31</v>
      </c>
      <c r="E43" s="344">
        <f>SUM(E34:E42)</f>
        <v>11</v>
      </c>
      <c r="F43" s="344">
        <f>SUM(F34:F42)</f>
        <v>41</v>
      </c>
      <c r="G43" s="344">
        <f>SUM(G34:G42)</f>
        <v>219</v>
      </c>
      <c r="H43" s="8"/>
      <c r="I43" s="8"/>
      <c r="J43" s="8"/>
    </row>
    <row r="44" spans="2:10" ht="15.75" customHeight="1" x14ac:dyDescent="0.25">
      <c r="B44" s="18" t="s">
        <v>134</v>
      </c>
      <c r="C44" s="8"/>
      <c r="D44" s="8"/>
      <c r="E44" s="8"/>
      <c r="F44" s="8"/>
      <c r="G44" s="8"/>
      <c r="H44" s="8"/>
      <c r="I44" s="8"/>
      <c r="J44" s="8"/>
    </row>
    <row r="45" spans="2:10" ht="15.75" customHeight="1" x14ac:dyDescent="0.25">
      <c r="B45" s="8"/>
      <c r="C45" s="8"/>
      <c r="D45" s="8"/>
      <c r="E45" s="8"/>
      <c r="F45" s="8"/>
      <c r="G45" s="8"/>
      <c r="H45" s="8"/>
      <c r="I45" s="8"/>
      <c r="J45" s="8"/>
    </row>
    <row r="46" spans="2:10" ht="15.75" customHeight="1" x14ac:dyDescent="0.25">
      <c r="B46" s="8"/>
      <c r="C46" s="8"/>
      <c r="D46" s="8"/>
      <c r="E46" s="8"/>
      <c r="F46" s="8"/>
      <c r="G46" s="8"/>
      <c r="H46" s="8"/>
      <c r="I46" s="8"/>
      <c r="J46" s="8"/>
    </row>
    <row r="47" spans="2:10" ht="15.75" customHeight="1" x14ac:dyDescent="0.25">
      <c r="B47" s="8"/>
      <c r="C47" s="8"/>
      <c r="D47" s="8"/>
      <c r="E47" s="8"/>
      <c r="F47" s="8"/>
      <c r="G47" s="8"/>
      <c r="H47" s="8"/>
      <c r="I47" s="8"/>
      <c r="J47" s="8"/>
    </row>
    <row r="48" spans="2:10" ht="15.75" customHeight="1" x14ac:dyDescent="0.25">
      <c r="B48" s="8"/>
      <c r="C48" s="8"/>
      <c r="D48" s="8"/>
      <c r="E48" s="8"/>
      <c r="F48" s="8"/>
      <c r="G48" s="8"/>
      <c r="H48" s="8"/>
      <c r="I48" s="8"/>
      <c r="J48" s="8"/>
    </row>
    <row r="49" spans="2:10" ht="15.75" customHeight="1" x14ac:dyDescent="0.25">
      <c r="B49" s="8"/>
      <c r="C49" s="8"/>
      <c r="D49" s="8"/>
      <c r="E49" s="8"/>
      <c r="F49" s="8"/>
      <c r="G49" s="8"/>
      <c r="H49" s="8"/>
      <c r="I49" s="8"/>
      <c r="J49" s="8"/>
    </row>
    <row r="50" spans="2:10" ht="15.75" customHeight="1" x14ac:dyDescent="0.25">
      <c r="B50" s="76" t="s">
        <v>135</v>
      </c>
      <c r="C50" s="8"/>
      <c r="D50" s="8"/>
      <c r="E50" s="8"/>
      <c r="F50" s="8"/>
      <c r="G50" s="8"/>
      <c r="H50" s="8"/>
      <c r="I50" s="8"/>
    </row>
    <row r="51" spans="2:10" ht="15.75" customHeight="1" x14ac:dyDescent="0.25">
      <c r="B51" s="22" t="s">
        <v>681</v>
      </c>
      <c r="C51" s="8"/>
      <c r="D51" s="8"/>
      <c r="E51" s="8"/>
      <c r="F51" s="8"/>
      <c r="G51" s="8"/>
      <c r="H51" s="8"/>
      <c r="I51" s="8"/>
    </row>
  </sheetData>
  <mergeCells count="6">
    <mergeCell ref="G32:G33"/>
    <mergeCell ref="B6:B7"/>
    <mergeCell ref="B32:B33"/>
    <mergeCell ref="C32:F32"/>
    <mergeCell ref="C6:D6"/>
    <mergeCell ref="E6:E7"/>
  </mergeCells>
  <hyperlinks>
    <hyperlink ref="A1" location="INDICE!A1" display="(Ir al Índice)" xr:uid="{C39A226A-99DF-4B3E-BE12-9298A0B69E2A}"/>
  </hyperlinks>
  <pageMargins left="0.7" right="0.7" top="0.75" bottom="0.7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8B0D4"/>
  </sheetPr>
  <dimension ref="A1:K27"/>
  <sheetViews>
    <sheetView showGridLines="0" topLeftCell="A4" workbookViewId="0">
      <selection activeCell="K4" sqref="K4"/>
    </sheetView>
  </sheetViews>
  <sheetFormatPr baseColWidth="10" defaultColWidth="14.42578125" defaultRowHeight="15" customHeight="1" x14ac:dyDescent="0.25"/>
  <cols>
    <col min="1" max="1" width="4.28515625" customWidth="1"/>
    <col min="2" max="2" width="23.28515625" customWidth="1"/>
    <col min="3" max="4" width="11.5703125" customWidth="1"/>
    <col min="5" max="5" width="16.140625" customWidth="1"/>
    <col min="6" max="26" width="11.5703125" customWidth="1"/>
  </cols>
  <sheetData>
    <row r="1" spans="1:11" x14ac:dyDescent="0.25">
      <c r="A1" s="78" t="s">
        <v>43</v>
      </c>
    </row>
    <row r="3" spans="1:11" x14ac:dyDescent="0.25">
      <c r="B3" s="4" t="s">
        <v>682</v>
      </c>
    </row>
    <row r="4" spans="1:11" x14ac:dyDescent="0.25">
      <c r="B4" s="19"/>
      <c r="K4" s="76" t="s">
        <v>136</v>
      </c>
    </row>
    <row r="5" spans="1:11" x14ac:dyDescent="0.25">
      <c r="A5" s="8"/>
      <c r="B5" s="19" t="s">
        <v>683</v>
      </c>
      <c r="C5" s="6"/>
      <c r="D5" s="6"/>
      <c r="E5" s="6"/>
      <c r="F5" s="8"/>
      <c r="G5" s="8"/>
      <c r="H5" s="8"/>
      <c r="I5" s="8"/>
      <c r="J5" s="8"/>
      <c r="K5" s="22" t="s">
        <v>685</v>
      </c>
    </row>
    <row r="6" spans="1:11" x14ac:dyDescent="0.25">
      <c r="A6" s="8"/>
      <c r="B6" s="336" t="s">
        <v>44</v>
      </c>
      <c r="C6" s="336" t="s">
        <v>137</v>
      </c>
      <c r="D6" s="336" t="s">
        <v>138</v>
      </c>
      <c r="E6" s="336" t="s">
        <v>45</v>
      </c>
      <c r="F6" s="8"/>
      <c r="G6" s="8"/>
      <c r="H6" s="8"/>
      <c r="I6" s="8"/>
      <c r="J6" s="8"/>
      <c r="K6" s="8"/>
    </row>
    <row r="7" spans="1:11" ht="15" customHeight="1" x14ac:dyDescent="0.25">
      <c r="A7" s="8"/>
      <c r="B7" s="277" t="s">
        <v>611</v>
      </c>
      <c r="C7" s="372">
        <v>1</v>
      </c>
      <c r="D7" s="373"/>
      <c r="E7" s="374">
        <v>1</v>
      </c>
      <c r="F7" s="8"/>
      <c r="G7" s="8"/>
      <c r="H7" s="8"/>
      <c r="I7" s="8"/>
      <c r="J7" s="8"/>
      <c r="K7" s="8"/>
    </row>
    <row r="8" spans="1:11" ht="15" customHeight="1" x14ac:dyDescent="0.25">
      <c r="A8" s="8"/>
      <c r="B8" s="277" t="s">
        <v>58</v>
      </c>
      <c r="C8" s="372">
        <v>9</v>
      </c>
      <c r="D8" s="372">
        <v>1</v>
      </c>
      <c r="E8" s="374">
        <v>10</v>
      </c>
      <c r="F8" s="8"/>
      <c r="G8" s="8"/>
      <c r="H8" s="8"/>
      <c r="I8" s="8"/>
      <c r="J8" s="8"/>
      <c r="K8" s="8"/>
    </row>
    <row r="9" spans="1:11" ht="15" customHeight="1" x14ac:dyDescent="0.25">
      <c r="A9" s="8"/>
      <c r="B9" s="277" t="s">
        <v>69</v>
      </c>
      <c r="C9" s="372">
        <v>9</v>
      </c>
      <c r="D9" s="372">
        <v>4</v>
      </c>
      <c r="E9" s="374">
        <v>13</v>
      </c>
      <c r="F9" s="8"/>
      <c r="G9" s="8"/>
      <c r="H9" s="8"/>
      <c r="I9" s="8"/>
      <c r="J9" s="8"/>
      <c r="K9" s="8"/>
    </row>
    <row r="10" spans="1:11" ht="15" customHeight="1" x14ac:dyDescent="0.25">
      <c r="A10" s="8"/>
      <c r="B10" s="277" t="s">
        <v>59</v>
      </c>
      <c r="C10" s="372">
        <v>4</v>
      </c>
      <c r="D10" s="373"/>
      <c r="E10" s="374">
        <v>4</v>
      </c>
      <c r="F10" s="8"/>
      <c r="G10" s="8"/>
      <c r="H10" s="8"/>
      <c r="I10" s="8"/>
      <c r="J10" s="8"/>
      <c r="K10" s="8"/>
    </row>
    <row r="11" spans="1:11" ht="15" customHeight="1" x14ac:dyDescent="0.25">
      <c r="A11" s="8"/>
      <c r="B11" s="277" t="s">
        <v>684</v>
      </c>
      <c r="C11" s="372">
        <v>2</v>
      </c>
      <c r="D11" s="373"/>
      <c r="E11" s="374">
        <v>2</v>
      </c>
      <c r="F11" s="8"/>
      <c r="G11" s="8"/>
      <c r="H11" s="8"/>
      <c r="I11" s="8"/>
      <c r="J11" s="8"/>
      <c r="K11" s="8"/>
    </row>
    <row r="12" spans="1:11" ht="15" customHeight="1" x14ac:dyDescent="0.25">
      <c r="A12" s="8"/>
      <c r="B12" s="277" t="s">
        <v>71</v>
      </c>
      <c r="C12" s="372">
        <v>33</v>
      </c>
      <c r="D12" s="372">
        <v>12</v>
      </c>
      <c r="E12" s="374">
        <v>45</v>
      </c>
      <c r="F12" s="8"/>
      <c r="G12" s="8"/>
      <c r="H12" s="8"/>
      <c r="I12" s="8"/>
      <c r="J12" s="8"/>
      <c r="K12" s="8"/>
    </row>
    <row r="13" spans="1:11" ht="15" customHeight="1" x14ac:dyDescent="0.25">
      <c r="A13" s="8"/>
      <c r="B13" s="277" t="s">
        <v>72</v>
      </c>
      <c r="C13" s="372">
        <v>19</v>
      </c>
      <c r="D13" s="373"/>
      <c r="E13" s="374">
        <v>19</v>
      </c>
      <c r="F13" s="8"/>
      <c r="G13" s="8"/>
      <c r="H13" s="8"/>
      <c r="I13" s="8"/>
      <c r="J13" s="8"/>
      <c r="K13" s="8"/>
    </row>
    <row r="14" spans="1:11" ht="15" customHeight="1" x14ac:dyDescent="0.25">
      <c r="A14" s="8"/>
      <c r="B14" s="277" t="s">
        <v>73</v>
      </c>
      <c r="C14" s="372">
        <v>24</v>
      </c>
      <c r="D14" s="373"/>
      <c r="E14" s="374">
        <v>24</v>
      </c>
      <c r="F14" s="8"/>
      <c r="G14" s="8"/>
      <c r="H14" s="8"/>
      <c r="I14" s="8"/>
      <c r="J14" s="8"/>
      <c r="K14" s="8"/>
    </row>
    <row r="15" spans="1:11" ht="15" customHeight="1" x14ac:dyDescent="0.25">
      <c r="A15" s="8"/>
      <c r="B15" s="277" t="s">
        <v>74</v>
      </c>
      <c r="C15" s="372">
        <v>13</v>
      </c>
      <c r="D15" s="373"/>
      <c r="E15" s="374">
        <v>13</v>
      </c>
      <c r="F15" s="8"/>
      <c r="G15" s="8"/>
      <c r="H15" s="8"/>
      <c r="I15" s="8"/>
      <c r="J15" s="8"/>
      <c r="K15" s="8"/>
    </row>
    <row r="16" spans="1:11" ht="15" customHeight="1" x14ac:dyDescent="0.25">
      <c r="A16" s="8"/>
      <c r="B16" s="277" t="s">
        <v>75</v>
      </c>
      <c r="C16" s="372">
        <v>9</v>
      </c>
      <c r="D16" s="373"/>
      <c r="E16" s="374">
        <v>9</v>
      </c>
      <c r="F16" s="8"/>
      <c r="G16" s="8"/>
      <c r="H16" s="8"/>
      <c r="I16" s="8"/>
      <c r="J16" s="8"/>
      <c r="K16" s="8"/>
    </row>
    <row r="17" spans="2:5" ht="15" customHeight="1" x14ac:dyDescent="0.25">
      <c r="B17" s="277" t="s">
        <v>61</v>
      </c>
      <c r="C17" s="372">
        <v>13</v>
      </c>
      <c r="D17" s="372">
        <v>2</v>
      </c>
      <c r="E17" s="374">
        <v>15</v>
      </c>
    </row>
    <row r="18" spans="2:5" ht="15" customHeight="1" x14ac:dyDescent="0.25">
      <c r="B18" s="277" t="s">
        <v>50</v>
      </c>
      <c r="C18" s="372">
        <v>13</v>
      </c>
      <c r="D18" s="373"/>
      <c r="E18" s="374">
        <v>13</v>
      </c>
    </row>
    <row r="19" spans="2:5" ht="15" customHeight="1" x14ac:dyDescent="0.25">
      <c r="B19" s="277" t="s">
        <v>51</v>
      </c>
      <c r="C19" s="372">
        <v>36</v>
      </c>
      <c r="D19" s="373"/>
      <c r="E19" s="374">
        <v>36</v>
      </c>
    </row>
    <row r="20" spans="2:5" ht="15" customHeight="1" x14ac:dyDescent="0.25">
      <c r="B20" s="277" t="s">
        <v>77</v>
      </c>
      <c r="C20" s="372">
        <v>6</v>
      </c>
      <c r="D20" s="373"/>
      <c r="E20" s="374">
        <v>6</v>
      </c>
    </row>
    <row r="21" spans="2:5" ht="15" customHeight="1" x14ac:dyDescent="0.25">
      <c r="B21" s="277" t="s">
        <v>78</v>
      </c>
      <c r="C21" s="279">
        <v>35</v>
      </c>
      <c r="D21" s="278"/>
      <c r="E21" s="279">
        <v>35</v>
      </c>
    </row>
    <row r="22" spans="2:5" ht="15" customHeight="1" x14ac:dyDescent="0.25">
      <c r="B22" s="277" t="s">
        <v>79</v>
      </c>
      <c r="C22" s="279">
        <v>25</v>
      </c>
      <c r="D22" s="279">
        <v>5</v>
      </c>
      <c r="E22" s="279">
        <v>30</v>
      </c>
    </row>
    <row r="23" spans="2:5" ht="15" customHeight="1" x14ac:dyDescent="0.25">
      <c r="B23" s="277" t="s">
        <v>52</v>
      </c>
      <c r="C23" s="279">
        <v>16</v>
      </c>
      <c r="D23" s="278"/>
      <c r="E23" s="279">
        <v>16</v>
      </c>
    </row>
    <row r="24" spans="2:5" ht="15" customHeight="1" x14ac:dyDescent="0.25">
      <c r="B24" s="277" t="s">
        <v>80</v>
      </c>
      <c r="C24" s="279">
        <v>1</v>
      </c>
      <c r="D24" s="278"/>
      <c r="E24" s="279">
        <v>1</v>
      </c>
    </row>
    <row r="25" spans="2:5" ht="15" customHeight="1" x14ac:dyDescent="0.25">
      <c r="B25" s="277" t="s">
        <v>244</v>
      </c>
      <c r="C25" s="279">
        <v>99</v>
      </c>
      <c r="D25" s="278"/>
      <c r="E25" s="357">
        <v>99</v>
      </c>
    </row>
    <row r="26" spans="2:5" ht="15" customHeight="1" x14ac:dyDescent="0.25">
      <c r="B26" s="346" t="s">
        <v>45</v>
      </c>
      <c r="C26" s="375">
        <f>SUM(C7:C25)</f>
        <v>367</v>
      </c>
      <c r="D26" s="375">
        <f>SUM(D7:D25)</f>
        <v>24</v>
      </c>
      <c r="E26" s="375">
        <f>SUM(E7:E25)</f>
        <v>391</v>
      </c>
    </row>
    <row r="27" spans="2:5" ht="15.75" customHeight="1" x14ac:dyDescent="0.25">
      <c r="B27" s="13" t="s">
        <v>53</v>
      </c>
      <c r="C27" s="8"/>
      <c r="D27" s="8"/>
      <c r="E27" s="8"/>
    </row>
  </sheetData>
  <hyperlinks>
    <hyperlink ref="A1" location="INDICE!A1" display="(Ir al Índice)" xr:uid="{088E0C23-740E-4E21-8CD1-A1A746FF6C41}"/>
  </hyperlink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B0D4"/>
  </sheetPr>
  <dimension ref="A1:S32"/>
  <sheetViews>
    <sheetView showGridLines="0" zoomScale="70" zoomScaleNormal="70" workbookViewId="0">
      <selection activeCell="J6" sqref="J6:S6"/>
    </sheetView>
  </sheetViews>
  <sheetFormatPr baseColWidth="10" defaultColWidth="14.42578125" defaultRowHeight="15" customHeight="1" x14ac:dyDescent="0.25"/>
  <cols>
    <col min="1" max="1" width="4.28515625" customWidth="1"/>
    <col min="2" max="2" width="27.140625" customWidth="1"/>
    <col min="3" max="5" width="13.28515625" customWidth="1"/>
    <col min="6" max="7" width="11.5703125" customWidth="1"/>
    <col min="8" max="8" width="8" customWidth="1"/>
    <col min="9" max="18" width="11.5703125" customWidth="1"/>
    <col min="19" max="19" width="13.85546875" customWidth="1"/>
    <col min="20" max="26" width="11.5703125" customWidth="1"/>
  </cols>
  <sheetData>
    <row r="1" spans="1:19" x14ac:dyDescent="0.25">
      <c r="A1" s="78" t="s">
        <v>43</v>
      </c>
    </row>
    <row r="2" spans="1:19" x14ac:dyDescent="0.25">
      <c r="B2" s="34"/>
    </row>
    <row r="3" spans="1:19" x14ac:dyDescent="0.25">
      <c r="B3" s="4" t="s">
        <v>686</v>
      </c>
    </row>
    <row r="4" spans="1:19" x14ac:dyDescent="0.25">
      <c r="B4" s="4"/>
    </row>
    <row r="5" spans="1:19" x14ac:dyDescent="0.25">
      <c r="A5" s="34"/>
      <c r="B5" s="34"/>
      <c r="C5" s="34"/>
      <c r="D5" s="34"/>
      <c r="E5" s="34"/>
      <c r="F5" s="34"/>
      <c r="G5" s="34"/>
      <c r="H5" s="34"/>
      <c r="I5" s="34"/>
      <c r="J5" s="79" t="s">
        <v>562</v>
      </c>
      <c r="K5" s="34"/>
      <c r="L5" s="34"/>
      <c r="M5" s="34"/>
      <c r="N5" s="34"/>
      <c r="O5" s="34"/>
      <c r="P5" s="34"/>
      <c r="Q5" s="34"/>
      <c r="R5" s="34"/>
      <c r="S5" s="34"/>
    </row>
    <row r="6" spans="1:19" ht="27" customHeight="1" x14ac:dyDescent="0.25">
      <c r="A6" s="8"/>
      <c r="B6" s="269" t="s">
        <v>711</v>
      </c>
      <c r="C6" s="270"/>
      <c r="D6" s="270"/>
      <c r="E6" s="270"/>
      <c r="F6" s="270"/>
      <c r="G6" s="270"/>
      <c r="H6" s="8"/>
      <c r="I6" s="8"/>
      <c r="J6" s="268" t="s">
        <v>687</v>
      </c>
      <c r="K6" s="267"/>
      <c r="L6" s="267"/>
      <c r="M6" s="267"/>
      <c r="N6" s="267"/>
      <c r="O6" s="267"/>
      <c r="P6" s="267"/>
      <c r="Q6" s="267"/>
      <c r="R6" s="267"/>
      <c r="S6" s="267"/>
    </row>
    <row r="7" spans="1:19" ht="23.25" customHeight="1" x14ac:dyDescent="0.25">
      <c r="A7" s="8"/>
      <c r="B7" s="376" t="s">
        <v>44</v>
      </c>
      <c r="C7" s="376" t="s">
        <v>712</v>
      </c>
      <c r="D7" s="376" t="s">
        <v>713</v>
      </c>
      <c r="E7" s="376" t="s">
        <v>45</v>
      </c>
      <c r="F7" s="8"/>
      <c r="G7" s="8"/>
      <c r="H7" s="8"/>
      <c r="I7" s="8"/>
      <c r="J7" s="22"/>
      <c r="K7" s="8"/>
      <c r="L7" s="8"/>
      <c r="M7" s="8"/>
      <c r="N7" s="8"/>
      <c r="O7" s="8"/>
      <c r="P7" s="8"/>
      <c r="Q7" s="8"/>
      <c r="R7" s="8"/>
      <c r="S7" s="8"/>
    </row>
    <row r="8" spans="1:19" ht="15" customHeight="1" x14ac:dyDescent="0.25">
      <c r="A8" s="8"/>
      <c r="B8" s="377" t="s">
        <v>688</v>
      </c>
      <c r="C8" s="378">
        <v>1</v>
      </c>
      <c r="D8" s="378">
        <v>21</v>
      </c>
      <c r="E8" s="378">
        <v>22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15" customHeight="1" x14ac:dyDescent="0.25">
      <c r="A9" s="8"/>
      <c r="B9" s="377" t="s">
        <v>689</v>
      </c>
      <c r="C9" s="377"/>
      <c r="D9" s="378">
        <v>14</v>
      </c>
      <c r="E9" s="378">
        <v>14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5" customHeight="1" x14ac:dyDescent="0.25">
      <c r="A10" s="8"/>
      <c r="B10" s="377" t="s">
        <v>690</v>
      </c>
      <c r="C10" s="377"/>
      <c r="D10" s="378">
        <v>15</v>
      </c>
      <c r="E10" s="378">
        <v>15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" customHeight="1" x14ac:dyDescent="0.25">
      <c r="A11" s="8"/>
      <c r="B11" s="377" t="s">
        <v>691</v>
      </c>
      <c r="C11" s="378">
        <v>3</v>
      </c>
      <c r="D11" s="378">
        <v>19</v>
      </c>
      <c r="E11" s="378">
        <v>22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5" customHeight="1" x14ac:dyDescent="0.25">
      <c r="A12" s="8"/>
      <c r="B12" s="377" t="s">
        <v>692</v>
      </c>
      <c r="C12" s="378">
        <v>1</v>
      </c>
      <c r="D12" s="378">
        <v>2</v>
      </c>
      <c r="E12" s="378">
        <v>3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" customHeight="1" x14ac:dyDescent="0.25">
      <c r="A13" s="8"/>
      <c r="B13" s="377" t="s">
        <v>693</v>
      </c>
      <c r="C13" s="377"/>
      <c r="D13" s="378">
        <v>18</v>
      </c>
      <c r="E13" s="378">
        <v>18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5" customHeight="1" x14ac:dyDescent="0.25">
      <c r="A14" s="8"/>
      <c r="B14" s="377" t="s">
        <v>694</v>
      </c>
      <c r="C14" s="378">
        <v>1</v>
      </c>
      <c r="D14" s="378">
        <v>5</v>
      </c>
      <c r="E14" s="378">
        <v>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5" customHeight="1" x14ac:dyDescent="0.25">
      <c r="A15" s="8"/>
      <c r="B15" s="377" t="s">
        <v>695</v>
      </c>
      <c r="C15" s="377"/>
      <c r="D15" s="378">
        <v>112</v>
      </c>
      <c r="E15" s="378">
        <v>112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15" customHeight="1" x14ac:dyDescent="0.25">
      <c r="A16" s="8"/>
      <c r="B16" s="377" t="s">
        <v>696</v>
      </c>
      <c r="C16" s="377"/>
      <c r="D16" s="378">
        <v>5</v>
      </c>
      <c r="E16" s="378">
        <v>5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2:7" ht="15" customHeight="1" x14ac:dyDescent="0.25">
      <c r="B17" s="377" t="s">
        <v>697</v>
      </c>
      <c r="C17" s="378">
        <v>2</v>
      </c>
      <c r="D17" s="378">
        <v>18</v>
      </c>
      <c r="E17" s="378">
        <v>20</v>
      </c>
      <c r="F17" s="8"/>
      <c r="G17" s="8"/>
    </row>
    <row r="18" spans="2:7" ht="15" customHeight="1" x14ac:dyDescent="0.25">
      <c r="B18" s="377" t="s">
        <v>698</v>
      </c>
      <c r="C18" s="377"/>
      <c r="D18" s="378">
        <v>30</v>
      </c>
      <c r="E18" s="378">
        <v>30</v>
      </c>
      <c r="F18" s="8"/>
      <c r="G18" s="8"/>
    </row>
    <row r="19" spans="2:7" ht="15" customHeight="1" x14ac:dyDescent="0.25">
      <c r="B19" s="377" t="s">
        <v>699</v>
      </c>
      <c r="C19" s="378">
        <v>32</v>
      </c>
      <c r="D19" s="378">
        <v>20</v>
      </c>
      <c r="E19" s="378">
        <v>52</v>
      </c>
      <c r="F19" s="8"/>
      <c r="G19" s="8"/>
    </row>
    <row r="20" spans="2:7" ht="15" customHeight="1" x14ac:dyDescent="0.25">
      <c r="B20" s="377" t="s">
        <v>700</v>
      </c>
      <c r="C20" s="377"/>
      <c r="D20" s="378">
        <v>10</v>
      </c>
      <c r="E20" s="378">
        <v>10</v>
      </c>
      <c r="F20" s="8"/>
      <c r="G20" s="8"/>
    </row>
    <row r="21" spans="2:7" ht="15" customHeight="1" x14ac:dyDescent="0.25">
      <c r="B21" s="377" t="s">
        <v>701</v>
      </c>
      <c r="C21" s="377"/>
      <c r="D21" s="378">
        <v>6</v>
      </c>
      <c r="E21" s="378">
        <v>6</v>
      </c>
      <c r="F21" s="8"/>
      <c r="G21" s="8"/>
    </row>
    <row r="22" spans="2:7" ht="15" customHeight="1" x14ac:dyDescent="0.25">
      <c r="B22" s="377" t="s">
        <v>702</v>
      </c>
      <c r="C22" s="378">
        <v>16</v>
      </c>
      <c r="D22" s="378">
        <v>149</v>
      </c>
      <c r="E22" s="378">
        <v>165</v>
      </c>
      <c r="F22" s="8"/>
      <c r="G22" s="8"/>
    </row>
    <row r="23" spans="2:7" ht="15" customHeight="1" x14ac:dyDescent="0.25">
      <c r="B23" s="377" t="s">
        <v>703</v>
      </c>
      <c r="C23" s="378">
        <v>6</v>
      </c>
      <c r="D23" s="378">
        <v>37</v>
      </c>
      <c r="E23" s="378">
        <v>43</v>
      </c>
      <c r="F23" s="8"/>
      <c r="G23" s="8"/>
    </row>
    <row r="24" spans="2:7" ht="15" customHeight="1" x14ac:dyDescent="0.25">
      <c r="B24" s="377" t="s">
        <v>704</v>
      </c>
      <c r="C24" s="377"/>
      <c r="D24" s="378">
        <v>25</v>
      </c>
      <c r="E24" s="378">
        <v>25</v>
      </c>
      <c r="F24" s="8"/>
      <c r="G24" s="8"/>
    </row>
    <row r="25" spans="2:7" ht="15" customHeight="1" x14ac:dyDescent="0.25">
      <c r="B25" s="377" t="s">
        <v>705</v>
      </c>
      <c r="C25" s="377"/>
      <c r="D25" s="378">
        <v>4</v>
      </c>
      <c r="E25" s="378">
        <v>4</v>
      </c>
      <c r="F25" s="8"/>
      <c r="G25" s="8"/>
    </row>
    <row r="26" spans="2:7" ht="15" customHeight="1" x14ac:dyDescent="0.25">
      <c r="B26" s="377" t="s">
        <v>706</v>
      </c>
      <c r="C26" s="377"/>
      <c r="D26" s="378">
        <v>6</v>
      </c>
      <c r="E26" s="378">
        <v>6</v>
      </c>
      <c r="F26" s="8"/>
      <c r="G26" s="8"/>
    </row>
    <row r="27" spans="2:7" ht="15" customHeight="1" x14ac:dyDescent="0.25">
      <c r="B27" s="377" t="s">
        <v>707</v>
      </c>
      <c r="C27" s="377"/>
      <c r="D27" s="378">
        <v>1</v>
      </c>
      <c r="E27" s="378">
        <v>1</v>
      </c>
      <c r="F27" s="8"/>
      <c r="G27" s="8"/>
    </row>
    <row r="28" spans="2:7" ht="15" customHeight="1" x14ac:dyDescent="0.25">
      <c r="B28" s="377" t="s">
        <v>708</v>
      </c>
      <c r="C28" s="377"/>
      <c r="D28" s="378">
        <v>52</v>
      </c>
      <c r="E28" s="378">
        <v>52</v>
      </c>
      <c r="F28" s="8"/>
      <c r="G28" s="8"/>
    </row>
    <row r="29" spans="2:7" ht="15" customHeight="1" x14ac:dyDescent="0.25">
      <c r="B29" s="377" t="s">
        <v>709</v>
      </c>
      <c r="C29" s="377"/>
      <c r="D29" s="378">
        <v>3</v>
      </c>
      <c r="E29" s="378">
        <v>3</v>
      </c>
      <c r="F29" s="8"/>
      <c r="G29" s="8"/>
    </row>
    <row r="30" spans="2:7" ht="15" customHeight="1" x14ac:dyDescent="0.25">
      <c r="B30" s="377" t="s">
        <v>710</v>
      </c>
      <c r="C30" s="377"/>
      <c r="D30" s="378">
        <v>16</v>
      </c>
      <c r="E30" s="378">
        <v>16</v>
      </c>
      <c r="F30" s="8"/>
      <c r="G30" s="8"/>
    </row>
    <row r="31" spans="2:7" ht="15" customHeight="1" x14ac:dyDescent="0.25">
      <c r="B31" s="379" t="s">
        <v>45</v>
      </c>
      <c r="C31" s="380">
        <f>SUM(C8:C30)</f>
        <v>62</v>
      </c>
      <c r="D31" s="380">
        <f>SUM(D8:D30)</f>
        <v>588</v>
      </c>
      <c r="E31" s="380">
        <f>SUM(E8:E30)</f>
        <v>650</v>
      </c>
      <c r="F31" s="8"/>
      <c r="G31" s="8"/>
    </row>
    <row r="32" spans="2:7" ht="15.75" customHeight="1" x14ac:dyDescent="0.25">
      <c r="B32" s="13" t="s">
        <v>53</v>
      </c>
      <c r="C32" s="8"/>
      <c r="D32" s="8"/>
      <c r="E32" s="8"/>
      <c r="F32" s="8"/>
      <c r="G32" s="8"/>
    </row>
  </sheetData>
  <mergeCells count="2">
    <mergeCell ref="J6:S6"/>
    <mergeCell ref="B6:G6"/>
  </mergeCells>
  <hyperlinks>
    <hyperlink ref="A1" location="INDICE!A1" display="(Ir al Índice)" xr:uid="{DAE9E913-435C-4F9C-8ECC-4CD943CD3F30}"/>
  </hyperlink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8B0D4"/>
  </sheetPr>
  <dimension ref="A1:H54"/>
  <sheetViews>
    <sheetView showGridLines="0" topLeftCell="A34" zoomScale="90" zoomScaleNormal="90" workbookViewId="0">
      <selection activeCell="B51" sqref="B51:E53"/>
    </sheetView>
  </sheetViews>
  <sheetFormatPr baseColWidth="10" defaultColWidth="14.42578125" defaultRowHeight="15" customHeight="1" x14ac:dyDescent="0.25"/>
  <cols>
    <col min="1" max="1" width="4.28515625" customWidth="1"/>
    <col min="2" max="2" width="20.140625" customWidth="1"/>
    <col min="3" max="3" width="19.7109375" customWidth="1"/>
    <col min="4" max="6" width="18.7109375" customWidth="1"/>
    <col min="7" max="7" width="21.42578125" customWidth="1"/>
    <col min="8" max="9" width="19.5703125" customWidth="1"/>
    <col min="10" max="29" width="11.5703125" customWidth="1"/>
  </cols>
  <sheetData>
    <row r="1" spans="1:3" x14ac:dyDescent="0.25">
      <c r="A1" s="78" t="s">
        <v>43</v>
      </c>
    </row>
    <row r="3" spans="1:3" x14ac:dyDescent="0.25">
      <c r="B3" s="4" t="s">
        <v>714</v>
      </c>
    </row>
    <row r="5" spans="1:3" x14ac:dyDescent="0.25">
      <c r="B5" s="19" t="s">
        <v>715</v>
      </c>
    </row>
    <row r="6" spans="1:3" ht="27" customHeight="1" x14ac:dyDescent="0.25">
      <c r="B6" s="337" t="s">
        <v>44</v>
      </c>
      <c r="C6" s="337" t="s">
        <v>616</v>
      </c>
    </row>
    <row r="7" spans="1:3" ht="15" customHeight="1" x14ac:dyDescent="0.25">
      <c r="B7" s="277" t="s">
        <v>66</v>
      </c>
      <c r="C7" s="279">
        <v>30</v>
      </c>
    </row>
    <row r="8" spans="1:3" ht="15" customHeight="1" x14ac:dyDescent="0.25">
      <c r="B8" s="277" t="s">
        <v>615</v>
      </c>
      <c r="C8" s="279">
        <v>1</v>
      </c>
    </row>
    <row r="9" spans="1:3" ht="15" customHeight="1" x14ac:dyDescent="0.25">
      <c r="B9" s="277" t="s">
        <v>58</v>
      </c>
      <c r="C9" s="279">
        <v>2</v>
      </c>
    </row>
    <row r="10" spans="1:3" ht="15" customHeight="1" x14ac:dyDescent="0.25">
      <c r="B10" s="277" t="s">
        <v>69</v>
      </c>
      <c r="C10" s="279">
        <v>1</v>
      </c>
    </row>
    <row r="11" spans="1:3" ht="15" customHeight="1" x14ac:dyDescent="0.25">
      <c r="B11" s="277" t="s">
        <v>59</v>
      </c>
      <c r="C11" s="279">
        <v>6</v>
      </c>
    </row>
    <row r="12" spans="1:3" ht="15" customHeight="1" x14ac:dyDescent="0.25">
      <c r="B12" s="277" t="s">
        <v>60</v>
      </c>
      <c r="C12" s="279">
        <v>15</v>
      </c>
    </row>
    <row r="13" spans="1:3" ht="15" customHeight="1" x14ac:dyDescent="0.25">
      <c r="B13" s="277" t="s">
        <v>71</v>
      </c>
      <c r="C13" s="279">
        <v>45</v>
      </c>
    </row>
    <row r="14" spans="1:3" ht="15" customHeight="1" x14ac:dyDescent="0.25">
      <c r="B14" s="277" t="s">
        <v>73</v>
      </c>
      <c r="C14" s="279">
        <v>7</v>
      </c>
    </row>
    <row r="15" spans="1:3" ht="15" customHeight="1" x14ac:dyDescent="0.25">
      <c r="B15" s="277" t="s">
        <v>74</v>
      </c>
      <c r="C15" s="279">
        <v>1</v>
      </c>
    </row>
    <row r="16" spans="1:3" ht="15" customHeight="1" x14ac:dyDescent="0.25">
      <c r="B16" s="277" t="s">
        <v>75</v>
      </c>
      <c r="C16" s="279">
        <v>2</v>
      </c>
    </row>
    <row r="17" spans="2:8" ht="15" customHeight="1" x14ac:dyDescent="0.25">
      <c r="B17" s="277" t="s">
        <v>50</v>
      </c>
      <c r="C17" s="279">
        <v>18</v>
      </c>
    </row>
    <row r="18" spans="2:8" ht="15" customHeight="1" x14ac:dyDescent="0.25">
      <c r="B18" s="277" t="s">
        <v>51</v>
      </c>
      <c r="C18" s="279">
        <v>19</v>
      </c>
    </row>
    <row r="19" spans="2:8" ht="15" customHeight="1" x14ac:dyDescent="0.25">
      <c r="B19" s="277" t="s">
        <v>77</v>
      </c>
      <c r="C19" s="279">
        <v>7</v>
      </c>
    </row>
    <row r="20" spans="2:8" ht="15" customHeight="1" x14ac:dyDescent="0.25">
      <c r="B20" s="277" t="s">
        <v>78</v>
      </c>
      <c r="C20" s="279">
        <v>2</v>
      </c>
    </row>
    <row r="21" spans="2:8" ht="15" customHeight="1" x14ac:dyDescent="0.25">
      <c r="B21" s="277" t="s">
        <v>79</v>
      </c>
      <c r="C21" s="279">
        <v>4</v>
      </c>
    </row>
    <row r="22" spans="2:8" ht="15" customHeight="1" x14ac:dyDescent="0.25">
      <c r="B22" s="277" t="s">
        <v>52</v>
      </c>
      <c r="C22" s="279">
        <v>35</v>
      </c>
    </row>
    <row r="23" spans="2:8" ht="15" customHeight="1" x14ac:dyDescent="0.25">
      <c r="B23" s="277" t="s">
        <v>244</v>
      </c>
      <c r="C23" s="279">
        <v>24</v>
      </c>
    </row>
    <row r="24" spans="2:8" ht="15" customHeight="1" x14ac:dyDescent="0.25">
      <c r="B24" s="346" t="s">
        <v>45</v>
      </c>
      <c r="C24" s="287">
        <f>SUM(C7:C23)</f>
        <v>219</v>
      </c>
    </row>
    <row r="25" spans="2:8" ht="15.75" customHeight="1" x14ac:dyDescent="0.25">
      <c r="B25" s="13" t="s">
        <v>53</v>
      </c>
    </row>
    <row r="26" spans="2:8" ht="15.75" customHeight="1" x14ac:dyDescent="0.25">
      <c r="B26" s="13"/>
    </row>
    <row r="27" spans="2:8" ht="15.75" customHeight="1" x14ac:dyDescent="0.25"/>
    <row r="28" spans="2:8" ht="15.75" customHeight="1" x14ac:dyDescent="0.25">
      <c r="B28" s="19" t="s">
        <v>719</v>
      </c>
    </row>
    <row r="29" spans="2:8" ht="21" customHeight="1" x14ac:dyDescent="0.25">
      <c r="B29" s="381" t="s">
        <v>44</v>
      </c>
      <c r="C29" s="381" t="s">
        <v>139</v>
      </c>
      <c r="D29" s="381" t="s">
        <v>716</v>
      </c>
      <c r="E29" s="381" t="s">
        <v>717</v>
      </c>
      <c r="F29" s="381" t="s">
        <v>140</v>
      </c>
      <c r="G29" s="381" t="s">
        <v>141</v>
      </c>
      <c r="H29" s="381" t="s">
        <v>142</v>
      </c>
    </row>
    <row r="30" spans="2:8" ht="15" customHeight="1" x14ac:dyDescent="0.25">
      <c r="B30" s="277" t="s">
        <v>66</v>
      </c>
      <c r="C30" s="331">
        <v>7062.63</v>
      </c>
      <c r="D30" s="329"/>
      <c r="E30" s="331">
        <v>100</v>
      </c>
      <c r="F30" s="331">
        <v>8.34</v>
      </c>
      <c r="G30" s="331">
        <v>218.24</v>
      </c>
      <c r="H30" s="300">
        <v>8.59</v>
      </c>
    </row>
    <row r="31" spans="2:8" ht="15" customHeight="1" x14ac:dyDescent="0.25">
      <c r="B31" s="277" t="s">
        <v>615</v>
      </c>
      <c r="C31" s="329"/>
      <c r="D31" s="329"/>
      <c r="E31" s="329"/>
      <c r="F31" s="329"/>
      <c r="G31" s="331">
        <v>1.24</v>
      </c>
      <c r="H31" s="299"/>
    </row>
    <row r="32" spans="2:8" ht="15" customHeight="1" x14ac:dyDescent="0.25">
      <c r="B32" s="277" t="s">
        <v>58</v>
      </c>
      <c r="C32" s="329"/>
      <c r="D32" s="329"/>
      <c r="E32" s="329"/>
      <c r="F32" s="329"/>
      <c r="G32" s="331">
        <v>1.31</v>
      </c>
      <c r="H32" s="299"/>
    </row>
    <row r="33" spans="2:8" ht="15" customHeight="1" x14ac:dyDescent="0.25">
      <c r="B33" s="277" t="s">
        <v>69</v>
      </c>
      <c r="C33" s="329"/>
      <c r="D33" s="329"/>
      <c r="E33" s="329"/>
      <c r="F33" s="329"/>
      <c r="G33" s="331">
        <v>14.84</v>
      </c>
      <c r="H33" s="299"/>
    </row>
    <row r="34" spans="2:8" ht="15" customHeight="1" x14ac:dyDescent="0.25">
      <c r="B34" s="277" t="s">
        <v>59</v>
      </c>
      <c r="C34" s="331">
        <v>5743</v>
      </c>
      <c r="D34" s="329"/>
      <c r="E34" s="329"/>
      <c r="F34" s="329"/>
      <c r="G34" s="331">
        <v>7.53</v>
      </c>
      <c r="H34" s="300">
        <v>26.92</v>
      </c>
    </row>
    <row r="35" spans="2:8" ht="15" customHeight="1" x14ac:dyDescent="0.25">
      <c r="B35" s="277" t="s">
        <v>60</v>
      </c>
      <c r="C35" s="329"/>
      <c r="D35" s="329"/>
      <c r="E35" s="329"/>
      <c r="F35" s="329"/>
      <c r="G35" s="331">
        <v>117.43</v>
      </c>
      <c r="H35" s="299"/>
    </row>
    <row r="36" spans="2:8" ht="15" customHeight="1" x14ac:dyDescent="0.25">
      <c r="B36" s="277" t="s">
        <v>71</v>
      </c>
      <c r="C36" s="329"/>
      <c r="D36" s="329"/>
      <c r="E36" s="329"/>
      <c r="F36" s="329"/>
      <c r="G36" s="331">
        <v>252.1</v>
      </c>
      <c r="H36" s="299"/>
    </row>
    <row r="37" spans="2:8" ht="15" customHeight="1" x14ac:dyDescent="0.25">
      <c r="B37" s="277" t="s">
        <v>73</v>
      </c>
      <c r="C37" s="329"/>
      <c r="D37" s="329"/>
      <c r="E37" s="329"/>
      <c r="F37" s="329"/>
      <c r="G37" s="331">
        <v>231.36</v>
      </c>
      <c r="H37" s="299"/>
    </row>
    <row r="38" spans="2:8" ht="15" customHeight="1" x14ac:dyDescent="0.25">
      <c r="B38" s="277" t="s">
        <v>74</v>
      </c>
      <c r="C38" s="331">
        <v>72250</v>
      </c>
      <c r="D38" s="329"/>
      <c r="E38" s="329"/>
      <c r="F38" s="331">
        <v>23.51</v>
      </c>
      <c r="G38" s="329"/>
      <c r="H38" s="299"/>
    </row>
    <row r="39" spans="2:8" ht="15" customHeight="1" x14ac:dyDescent="0.25">
      <c r="B39" s="277" t="s">
        <v>75</v>
      </c>
      <c r="C39" s="331">
        <v>64925</v>
      </c>
      <c r="D39" s="329"/>
      <c r="E39" s="329"/>
      <c r="F39" s="331">
        <v>3.33</v>
      </c>
      <c r="G39" s="329"/>
      <c r="H39" s="299"/>
    </row>
    <row r="40" spans="2:8" ht="15" customHeight="1" x14ac:dyDescent="0.25">
      <c r="B40" s="277" t="s">
        <v>50</v>
      </c>
      <c r="C40" s="329"/>
      <c r="D40" s="329"/>
      <c r="E40" s="329"/>
      <c r="F40" s="329"/>
      <c r="G40" s="331">
        <v>51.53</v>
      </c>
      <c r="H40" s="300">
        <v>45.78</v>
      </c>
    </row>
    <row r="41" spans="2:8" ht="15" customHeight="1" x14ac:dyDescent="0.25">
      <c r="B41" s="277" t="s">
        <v>51</v>
      </c>
      <c r="C41" s="331">
        <v>450</v>
      </c>
      <c r="D41" s="329"/>
      <c r="E41" s="329"/>
      <c r="F41" s="329"/>
      <c r="G41" s="331">
        <v>125.62</v>
      </c>
      <c r="H41" s="299"/>
    </row>
    <row r="42" spans="2:8" ht="15" customHeight="1" x14ac:dyDescent="0.25">
      <c r="B42" s="277" t="s">
        <v>77</v>
      </c>
      <c r="C42" s="329"/>
      <c r="D42" s="329"/>
      <c r="E42" s="329"/>
      <c r="F42" s="329"/>
      <c r="G42" s="331">
        <v>129.38</v>
      </c>
      <c r="H42" s="300">
        <v>8.26</v>
      </c>
    </row>
    <row r="43" spans="2:8" ht="15" customHeight="1" x14ac:dyDescent="0.25">
      <c r="B43" s="277" t="s">
        <v>79</v>
      </c>
      <c r="C43" s="329"/>
      <c r="D43" s="329"/>
      <c r="E43" s="329"/>
      <c r="F43" s="329"/>
      <c r="G43" s="331">
        <v>38.43</v>
      </c>
      <c r="H43" s="299"/>
    </row>
    <row r="44" spans="2:8" ht="15" customHeight="1" x14ac:dyDescent="0.25">
      <c r="B44" s="277" t="s">
        <v>52</v>
      </c>
      <c r="C44" s="329"/>
      <c r="D44" s="329"/>
      <c r="E44" s="329"/>
      <c r="F44" s="329"/>
      <c r="G44" s="331">
        <v>266.14</v>
      </c>
      <c r="H44" s="300">
        <v>2.36</v>
      </c>
    </row>
    <row r="45" spans="2:8" ht="15" customHeight="1" x14ac:dyDescent="0.25">
      <c r="B45" s="277" t="s">
        <v>244</v>
      </c>
      <c r="C45" s="329"/>
      <c r="D45" s="331">
        <v>300</v>
      </c>
      <c r="E45" s="329"/>
      <c r="F45" s="329"/>
      <c r="G45" s="331">
        <v>163.98</v>
      </c>
      <c r="H45" s="299"/>
    </row>
    <row r="46" spans="2:8" ht="15" customHeight="1" x14ac:dyDescent="0.25">
      <c r="B46" s="382" t="s">
        <v>45</v>
      </c>
      <c r="C46" s="383">
        <f>SUM(C30:C45)</f>
        <v>150430.63</v>
      </c>
      <c r="D46" s="383">
        <f t="shared" ref="D46:H46" si="0">SUM(D30:D45)</f>
        <v>300</v>
      </c>
      <c r="E46" s="383">
        <f t="shared" si="0"/>
        <v>100</v>
      </c>
      <c r="F46" s="383">
        <f t="shared" si="0"/>
        <v>35.18</v>
      </c>
      <c r="G46" s="383">
        <f t="shared" si="0"/>
        <v>1619.13</v>
      </c>
      <c r="H46" s="384">
        <f t="shared" si="0"/>
        <v>91.910000000000011</v>
      </c>
    </row>
    <row r="47" spans="2:8" ht="15.75" customHeight="1" x14ac:dyDescent="0.25">
      <c r="B47" s="13" t="s">
        <v>53</v>
      </c>
    </row>
    <row r="48" spans="2:8" ht="15.75" customHeight="1" x14ac:dyDescent="0.25"/>
    <row r="49" spans="2:5" ht="15.75" customHeight="1" x14ac:dyDescent="0.25"/>
    <row r="50" spans="2:5" ht="15.75" customHeight="1" x14ac:dyDescent="0.25">
      <c r="B50" s="19" t="s">
        <v>720</v>
      </c>
    </row>
    <row r="51" spans="2:5" ht="23.25" customHeight="1" x14ac:dyDescent="0.25">
      <c r="B51" s="381" t="s">
        <v>44</v>
      </c>
      <c r="C51" s="381" t="s">
        <v>143</v>
      </c>
      <c r="D51" s="381" t="s">
        <v>563</v>
      </c>
      <c r="E51" s="381" t="s">
        <v>718</v>
      </c>
    </row>
    <row r="52" spans="2:5" ht="15" customHeight="1" x14ac:dyDescent="0.25">
      <c r="B52" s="277" t="s">
        <v>50</v>
      </c>
      <c r="C52" s="279">
        <v>8</v>
      </c>
      <c r="D52" s="279">
        <v>1</v>
      </c>
      <c r="E52" s="279">
        <v>3</v>
      </c>
    </row>
    <row r="53" spans="2:5" ht="15" customHeight="1" x14ac:dyDescent="0.25">
      <c r="B53" s="382" t="s">
        <v>45</v>
      </c>
      <c r="C53" s="385">
        <v>8</v>
      </c>
      <c r="D53" s="385">
        <v>1</v>
      </c>
      <c r="E53" s="385">
        <v>3</v>
      </c>
    </row>
    <row r="54" spans="2:5" ht="15.75" customHeight="1" x14ac:dyDescent="0.25">
      <c r="B54" s="13" t="s">
        <v>53</v>
      </c>
    </row>
  </sheetData>
  <hyperlinks>
    <hyperlink ref="A1" location="INDICE!A1" display="(Ir al Índice)" xr:uid="{174F6A31-8B52-4847-A5C4-E0F8C6EEBE3D}"/>
  </hyperlink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8B0D4"/>
  </sheetPr>
  <dimension ref="A1:Q106"/>
  <sheetViews>
    <sheetView showGridLines="0" topLeftCell="A5" zoomScale="90" zoomScaleNormal="90" workbookViewId="0">
      <selection activeCell="I5" sqref="I5"/>
    </sheetView>
  </sheetViews>
  <sheetFormatPr baseColWidth="10" defaultColWidth="14.42578125" defaultRowHeight="15" customHeight="1" x14ac:dyDescent="0.25"/>
  <cols>
    <col min="1" max="1" width="4.28515625" customWidth="1"/>
    <col min="2" max="2" width="35.42578125" customWidth="1"/>
    <col min="3" max="3" width="17" customWidth="1"/>
    <col min="4" max="5" width="19" customWidth="1"/>
    <col min="6" max="6" width="12.140625" customWidth="1"/>
    <col min="7" max="7" width="13.140625" customWidth="1"/>
    <col min="8" max="9" width="13.7109375" customWidth="1"/>
    <col min="10" max="10" width="11.28515625" customWidth="1"/>
    <col min="11" max="11" width="17.5703125" customWidth="1"/>
    <col min="12" max="12" width="17.42578125" customWidth="1"/>
    <col min="13" max="13" width="15.85546875" customWidth="1"/>
    <col min="14" max="14" width="14.42578125" customWidth="1"/>
    <col min="15" max="15" width="15" customWidth="1"/>
    <col min="16" max="28" width="11.42578125" customWidth="1"/>
  </cols>
  <sheetData>
    <row r="1" spans="1:9" x14ac:dyDescent="0.25">
      <c r="A1" s="78" t="s">
        <v>43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31"/>
      <c r="B2" s="31"/>
      <c r="C2" s="31"/>
      <c r="D2" s="31"/>
      <c r="E2" s="31"/>
      <c r="F2" s="31"/>
      <c r="G2" s="31"/>
      <c r="H2" s="31"/>
      <c r="I2" s="31"/>
    </row>
    <row r="3" spans="1:9" x14ac:dyDescent="0.25">
      <c r="A3" s="31"/>
      <c r="B3" s="4" t="s">
        <v>764</v>
      </c>
      <c r="C3" s="31"/>
      <c r="D3" s="31"/>
      <c r="E3" s="31"/>
      <c r="F3" s="31"/>
      <c r="G3" s="31"/>
      <c r="H3" s="31"/>
      <c r="I3" s="31"/>
    </row>
    <row r="4" spans="1:9" x14ac:dyDescent="0.25">
      <c r="A4" s="31"/>
      <c r="B4" s="31"/>
      <c r="C4" s="31"/>
      <c r="D4" s="31"/>
      <c r="E4" s="31"/>
      <c r="F4" s="31"/>
      <c r="G4" s="31"/>
      <c r="H4" s="31"/>
      <c r="I4" s="31"/>
    </row>
    <row r="5" spans="1:9" x14ac:dyDescent="0.25">
      <c r="A5" s="31"/>
      <c r="B5" s="19" t="s">
        <v>721</v>
      </c>
      <c r="C5" s="31"/>
      <c r="D5" s="31"/>
      <c r="E5" s="31"/>
      <c r="F5" s="31"/>
      <c r="G5" s="31"/>
      <c r="H5" s="31"/>
      <c r="I5" s="15" t="s">
        <v>564</v>
      </c>
    </row>
    <row r="6" spans="1:9" ht="25.9" customHeight="1" x14ac:dyDescent="0.25">
      <c r="A6" s="31"/>
      <c r="B6" s="336" t="s">
        <v>44</v>
      </c>
      <c r="C6" s="337" t="s">
        <v>182</v>
      </c>
      <c r="D6" s="336" t="s">
        <v>183</v>
      </c>
      <c r="E6" s="336" t="s">
        <v>722</v>
      </c>
      <c r="F6" s="336" t="s">
        <v>45</v>
      </c>
      <c r="G6" s="31"/>
      <c r="H6" s="31"/>
      <c r="I6" s="22" t="s">
        <v>723</v>
      </c>
    </row>
    <row r="7" spans="1:9" x14ac:dyDescent="0.25">
      <c r="A7" s="31"/>
      <c r="B7" s="277" t="s">
        <v>66</v>
      </c>
      <c r="C7" s="279">
        <v>21</v>
      </c>
      <c r="D7" s="340">
        <v>10</v>
      </c>
      <c r="E7" s="278"/>
      <c r="F7" s="386">
        <f>SUM(C7:E7)</f>
        <v>31</v>
      </c>
      <c r="G7" s="31"/>
      <c r="H7" s="31"/>
      <c r="I7" s="31"/>
    </row>
    <row r="8" spans="1:9" x14ac:dyDescent="0.25">
      <c r="A8" s="31"/>
      <c r="B8" s="277" t="s">
        <v>67</v>
      </c>
      <c r="C8" s="279">
        <v>26</v>
      </c>
      <c r="D8" s="279">
        <v>11</v>
      </c>
      <c r="E8" s="278"/>
      <c r="F8" s="386">
        <f t="shared" ref="F8:F30" si="0">SUM(C8:E8)</f>
        <v>37</v>
      </c>
      <c r="G8" s="31"/>
      <c r="H8" s="31"/>
      <c r="I8" s="31"/>
    </row>
    <row r="9" spans="1:9" x14ac:dyDescent="0.25">
      <c r="A9" s="31"/>
      <c r="B9" s="277" t="s">
        <v>68</v>
      </c>
      <c r="C9" s="279">
        <v>23</v>
      </c>
      <c r="D9" s="279">
        <v>4</v>
      </c>
      <c r="E9" s="278"/>
      <c r="F9" s="386">
        <f t="shared" si="0"/>
        <v>27</v>
      </c>
      <c r="G9" s="31"/>
      <c r="H9" s="31"/>
      <c r="I9" s="31"/>
    </row>
    <row r="10" spans="1:9" x14ac:dyDescent="0.25">
      <c r="A10" s="31"/>
      <c r="B10" s="277" t="s">
        <v>58</v>
      </c>
      <c r="C10" s="279">
        <v>63</v>
      </c>
      <c r="D10" s="279">
        <v>7</v>
      </c>
      <c r="E10" s="278"/>
      <c r="F10" s="386">
        <f t="shared" si="0"/>
        <v>70</v>
      </c>
      <c r="G10" s="31"/>
      <c r="H10" s="31"/>
      <c r="I10" s="31"/>
    </row>
    <row r="11" spans="1:9" x14ac:dyDescent="0.25">
      <c r="A11" s="31"/>
      <c r="B11" s="277" t="s">
        <v>69</v>
      </c>
      <c r="C11" s="279">
        <v>26</v>
      </c>
      <c r="D11" s="279">
        <v>8</v>
      </c>
      <c r="E11" s="278"/>
      <c r="F11" s="386">
        <f t="shared" si="0"/>
        <v>34</v>
      </c>
      <c r="G11" s="31"/>
      <c r="H11" s="31"/>
      <c r="I11" s="31"/>
    </row>
    <row r="12" spans="1:9" x14ac:dyDescent="0.25">
      <c r="A12" s="31"/>
      <c r="B12" s="277" t="s">
        <v>59</v>
      </c>
      <c r="C12" s="279">
        <v>8</v>
      </c>
      <c r="D12" s="278"/>
      <c r="E12" s="278"/>
      <c r="F12" s="386">
        <f t="shared" si="0"/>
        <v>8</v>
      </c>
      <c r="G12" s="31"/>
      <c r="H12" s="31"/>
      <c r="I12" s="31"/>
    </row>
    <row r="13" spans="1:9" x14ac:dyDescent="0.25">
      <c r="A13" s="31"/>
      <c r="B13" s="277" t="s">
        <v>60</v>
      </c>
      <c r="C13" s="279">
        <v>1</v>
      </c>
      <c r="D13" s="278"/>
      <c r="E13" s="278"/>
      <c r="F13" s="386">
        <f t="shared" si="0"/>
        <v>1</v>
      </c>
      <c r="G13" s="31"/>
      <c r="H13" s="31"/>
      <c r="I13" s="31"/>
    </row>
    <row r="14" spans="1:9" x14ac:dyDescent="0.25">
      <c r="A14" s="31"/>
      <c r="B14" s="277" t="s">
        <v>70</v>
      </c>
      <c r="C14" s="279">
        <v>39</v>
      </c>
      <c r="D14" s="279">
        <v>10</v>
      </c>
      <c r="E14" s="278"/>
      <c r="F14" s="386">
        <f t="shared" si="0"/>
        <v>49</v>
      </c>
      <c r="G14" s="31"/>
      <c r="H14" s="31"/>
      <c r="I14" s="31"/>
    </row>
    <row r="15" spans="1:9" x14ac:dyDescent="0.25">
      <c r="A15" s="31"/>
      <c r="B15" s="277" t="s">
        <v>71</v>
      </c>
      <c r="C15" s="279">
        <v>17</v>
      </c>
      <c r="D15" s="279">
        <v>1</v>
      </c>
      <c r="E15" s="278"/>
      <c r="F15" s="386">
        <f t="shared" si="0"/>
        <v>18</v>
      </c>
      <c r="G15" s="31"/>
      <c r="H15" s="31"/>
      <c r="I15" s="31"/>
    </row>
    <row r="16" spans="1:9" x14ac:dyDescent="0.25">
      <c r="A16" s="31"/>
      <c r="B16" s="277" t="s">
        <v>72</v>
      </c>
      <c r="C16" s="279">
        <v>83</v>
      </c>
      <c r="D16" s="279">
        <v>19</v>
      </c>
      <c r="E16" s="278"/>
      <c r="F16" s="386">
        <f t="shared" si="0"/>
        <v>102</v>
      </c>
      <c r="G16" s="31"/>
      <c r="H16" s="31"/>
      <c r="I16" s="31"/>
    </row>
    <row r="17" spans="2:6" x14ac:dyDescent="0.25">
      <c r="B17" s="277" t="s">
        <v>73</v>
      </c>
      <c r="C17" s="279">
        <v>60</v>
      </c>
      <c r="D17" s="279">
        <v>3</v>
      </c>
      <c r="E17" s="278"/>
      <c r="F17" s="386">
        <f t="shared" si="0"/>
        <v>63</v>
      </c>
    </row>
    <row r="18" spans="2:6" x14ac:dyDescent="0.25">
      <c r="B18" s="277" t="s">
        <v>74</v>
      </c>
      <c r="C18" s="279">
        <v>82</v>
      </c>
      <c r="D18" s="279">
        <v>28</v>
      </c>
      <c r="E18" s="278"/>
      <c r="F18" s="386">
        <f t="shared" si="0"/>
        <v>110</v>
      </c>
    </row>
    <row r="19" spans="2:6" x14ac:dyDescent="0.25">
      <c r="B19" s="277" t="s">
        <v>75</v>
      </c>
      <c r="C19" s="279">
        <v>6</v>
      </c>
      <c r="D19" s="278"/>
      <c r="E19" s="278"/>
      <c r="F19" s="386">
        <f t="shared" si="0"/>
        <v>6</v>
      </c>
    </row>
    <row r="20" spans="2:6" x14ac:dyDescent="0.25">
      <c r="B20" s="277" t="s">
        <v>61</v>
      </c>
      <c r="C20" s="279">
        <v>461</v>
      </c>
      <c r="D20" s="279">
        <v>11</v>
      </c>
      <c r="E20" s="279">
        <v>60</v>
      </c>
      <c r="F20" s="386">
        <f t="shared" si="0"/>
        <v>532</v>
      </c>
    </row>
    <row r="21" spans="2:6" ht="15.75" customHeight="1" x14ac:dyDescent="0.25">
      <c r="B21" s="277" t="s">
        <v>50</v>
      </c>
      <c r="C21" s="279">
        <v>40</v>
      </c>
      <c r="D21" s="340">
        <v>1</v>
      </c>
      <c r="E21" s="278"/>
      <c r="F21" s="386">
        <f t="shared" si="0"/>
        <v>41</v>
      </c>
    </row>
    <row r="22" spans="2:6" ht="15.75" customHeight="1" x14ac:dyDescent="0.25">
      <c r="B22" s="277" t="s">
        <v>51</v>
      </c>
      <c r="C22" s="279">
        <v>217</v>
      </c>
      <c r="D22" s="340">
        <v>14</v>
      </c>
      <c r="E22" s="278"/>
      <c r="F22" s="386">
        <f t="shared" si="0"/>
        <v>231</v>
      </c>
    </row>
    <row r="23" spans="2:6" ht="15.75" customHeight="1" x14ac:dyDescent="0.25">
      <c r="B23" s="277" t="s">
        <v>76</v>
      </c>
      <c r="C23" s="279">
        <v>38</v>
      </c>
      <c r="D23" s="279">
        <v>1</v>
      </c>
      <c r="E23" s="278"/>
      <c r="F23" s="386">
        <f t="shared" si="0"/>
        <v>39</v>
      </c>
    </row>
    <row r="24" spans="2:6" ht="15.75" customHeight="1" x14ac:dyDescent="0.25">
      <c r="B24" s="277" t="s">
        <v>77</v>
      </c>
      <c r="C24" s="279">
        <v>9</v>
      </c>
      <c r="D24" s="279">
        <v>3</v>
      </c>
      <c r="E24" s="278"/>
      <c r="F24" s="386">
        <f t="shared" si="0"/>
        <v>12</v>
      </c>
    </row>
    <row r="25" spans="2:6" ht="15.75" customHeight="1" x14ac:dyDescent="0.25">
      <c r="B25" s="277" t="s">
        <v>78</v>
      </c>
      <c r="C25" s="279">
        <v>119</v>
      </c>
      <c r="D25" s="278"/>
      <c r="E25" s="278"/>
      <c r="F25" s="386">
        <f t="shared" si="0"/>
        <v>119</v>
      </c>
    </row>
    <row r="26" spans="2:6" ht="15.75" customHeight="1" x14ac:dyDescent="0.25">
      <c r="B26" s="277" t="s">
        <v>184</v>
      </c>
      <c r="C26" s="279">
        <v>2</v>
      </c>
      <c r="D26" s="279">
        <v>7</v>
      </c>
      <c r="E26" s="278"/>
      <c r="F26" s="386">
        <f t="shared" si="0"/>
        <v>9</v>
      </c>
    </row>
    <row r="27" spans="2:6" ht="15.75" customHeight="1" x14ac:dyDescent="0.25">
      <c r="B27" s="277" t="s">
        <v>79</v>
      </c>
      <c r="C27" s="279">
        <v>15</v>
      </c>
      <c r="D27" s="278"/>
      <c r="E27" s="278"/>
      <c r="F27" s="386">
        <f t="shared" si="0"/>
        <v>15</v>
      </c>
    </row>
    <row r="28" spans="2:6" ht="15.75" customHeight="1" x14ac:dyDescent="0.25">
      <c r="B28" s="277" t="s">
        <v>52</v>
      </c>
      <c r="C28" s="279">
        <v>93</v>
      </c>
      <c r="D28" s="340">
        <v>38</v>
      </c>
      <c r="E28" s="278"/>
      <c r="F28" s="386">
        <f t="shared" si="0"/>
        <v>131</v>
      </c>
    </row>
    <row r="29" spans="2:6" ht="15.75" customHeight="1" x14ac:dyDescent="0.25">
      <c r="B29" s="277" t="s">
        <v>80</v>
      </c>
      <c r="C29" s="279">
        <v>74</v>
      </c>
      <c r="D29" s="340">
        <v>11</v>
      </c>
      <c r="E29" s="278"/>
      <c r="F29" s="386">
        <f t="shared" si="0"/>
        <v>85</v>
      </c>
    </row>
    <row r="30" spans="2:6" ht="15.75" customHeight="1" x14ac:dyDescent="0.25">
      <c r="B30" s="277" t="s">
        <v>244</v>
      </c>
      <c r="C30" s="279">
        <v>201</v>
      </c>
      <c r="D30" s="279">
        <v>2</v>
      </c>
      <c r="E30" s="278"/>
      <c r="F30" s="386">
        <f t="shared" si="0"/>
        <v>203</v>
      </c>
    </row>
    <row r="31" spans="2:6" ht="15.75" customHeight="1" x14ac:dyDescent="0.25">
      <c r="B31" s="371" t="s">
        <v>45</v>
      </c>
      <c r="C31" s="287">
        <f>SUM(C7:C30)</f>
        <v>1724</v>
      </c>
      <c r="D31" s="287">
        <f>SUM(D7:D30)</f>
        <v>189</v>
      </c>
      <c r="E31" s="287">
        <f>SUM(E7:E30)</f>
        <v>60</v>
      </c>
      <c r="F31" s="287">
        <f>SUM(F7:F30)</f>
        <v>1973</v>
      </c>
    </row>
    <row r="32" spans="2:6" ht="15.75" customHeight="1" x14ac:dyDescent="0.25">
      <c r="B32" s="13" t="s">
        <v>53</v>
      </c>
      <c r="C32" s="31"/>
      <c r="D32" s="31"/>
      <c r="E32" s="31"/>
      <c r="F32" s="31"/>
    </row>
    <row r="38" spans="2:17" ht="15.75" customHeight="1" x14ac:dyDescent="0.25">
      <c r="B38" s="19" t="s">
        <v>724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2:17" ht="33.6" customHeight="1" x14ac:dyDescent="0.25">
      <c r="B39" s="274" t="s">
        <v>185</v>
      </c>
      <c r="C39" s="275" t="s">
        <v>186</v>
      </c>
      <c r="D39" s="275" t="s">
        <v>187</v>
      </c>
      <c r="E39" s="275" t="s">
        <v>188</v>
      </c>
      <c r="F39" s="275" t="s">
        <v>189</v>
      </c>
      <c r="G39" s="275" t="s">
        <v>190</v>
      </c>
      <c r="H39" s="275" t="s">
        <v>191</v>
      </c>
      <c r="I39" s="275" t="s">
        <v>192</v>
      </c>
      <c r="J39" s="275" t="s">
        <v>193</v>
      </c>
      <c r="K39" s="275" t="s">
        <v>194</v>
      </c>
      <c r="L39" s="275" t="s">
        <v>195</v>
      </c>
      <c r="M39" s="275" t="s">
        <v>725</v>
      </c>
      <c r="N39" s="275" t="s">
        <v>726</v>
      </c>
      <c r="O39" s="275" t="s">
        <v>196</v>
      </c>
    </row>
    <row r="40" spans="2:17" ht="15.75" customHeight="1" x14ac:dyDescent="0.25">
      <c r="B40" s="277" t="s">
        <v>197</v>
      </c>
      <c r="C40" s="333">
        <v>715</v>
      </c>
      <c r="D40" s="387">
        <v>172</v>
      </c>
      <c r="E40" s="333">
        <v>8</v>
      </c>
      <c r="F40" s="332"/>
      <c r="G40" s="332"/>
      <c r="H40" s="332"/>
      <c r="I40" s="332"/>
      <c r="J40" s="332"/>
      <c r="K40" s="332"/>
      <c r="L40" s="332"/>
      <c r="M40" s="387">
        <v>255</v>
      </c>
      <c r="N40" s="387">
        <v>514</v>
      </c>
      <c r="O40" s="388">
        <v>1664</v>
      </c>
    </row>
    <row r="41" spans="2:17" ht="15.75" customHeight="1" x14ac:dyDescent="0.25">
      <c r="B41" s="277" t="s">
        <v>198</v>
      </c>
      <c r="C41" s="333">
        <v>1506</v>
      </c>
      <c r="D41" s="333">
        <v>41</v>
      </c>
      <c r="E41" s="333">
        <v>16</v>
      </c>
      <c r="F41" s="333">
        <v>1</v>
      </c>
      <c r="G41" s="332"/>
      <c r="H41" s="332"/>
      <c r="I41" s="332"/>
      <c r="J41" s="332"/>
      <c r="K41" s="332"/>
      <c r="L41" s="333">
        <v>44</v>
      </c>
      <c r="M41" s="333">
        <v>1</v>
      </c>
      <c r="N41" s="332"/>
      <c r="O41" s="388">
        <v>1609</v>
      </c>
    </row>
    <row r="42" spans="2:17" ht="15.75" customHeight="1" x14ac:dyDescent="0.25">
      <c r="B42" s="277" t="s">
        <v>199</v>
      </c>
      <c r="C42" s="333">
        <v>40066</v>
      </c>
      <c r="D42" s="332"/>
      <c r="E42" s="333">
        <v>3498</v>
      </c>
      <c r="F42" s="332"/>
      <c r="G42" s="332"/>
      <c r="H42" s="332"/>
      <c r="I42" s="332"/>
      <c r="J42" s="332"/>
      <c r="K42" s="332"/>
      <c r="L42" s="332"/>
      <c r="M42" s="332"/>
      <c r="N42" s="332"/>
      <c r="O42" s="388">
        <v>43564</v>
      </c>
    </row>
    <row r="43" spans="2:17" ht="15.75" customHeight="1" x14ac:dyDescent="0.25">
      <c r="B43" s="277" t="s">
        <v>200</v>
      </c>
      <c r="C43" s="333">
        <v>733</v>
      </c>
      <c r="D43" s="333">
        <v>71</v>
      </c>
      <c r="E43" s="333">
        <v>25</v>
      </c>
      <c r="F43" s="333">
        <v>28</v>
      </c>
      <c r="G43" s="333">
        <v>2</v>
      </c>
      <c r="H43" s="387">
        <v>2</v>
      </c>
      <c r="I43" s="333">
        <v>15</v>
      </c>
      <c r="J43" s="333">
        <v>207</v>
      </c>
      <c r="K43" s="333">
        <v>17</v>
      </c>
      <c r="L43" s="332"/>
      <c r="M43" s="333">
        <v>45</v>
      </c>
      <c r="N43" s="332"/>
      <c r="O43" s="388">
        <v>1145</v>
      </c>
    </row>
    <row r="44" spans="2:17" ht="15.75" customHeight="1" x14ac:dyDescent="0.25">
      <c r="B44" s="277" t="s">
        <v>201</v>
      </c>
      <c r="C44" s="333">
        <v>1065</v>
      </c>
      <c r="D44" s="333">
        <v>29</v>
      </c>
      <c r="E44" s="333">
        <v>86</v>
      </c>
      <c r="F44" s="333">
        <v>102</v>
      </c>
      <c r="G44" s="387">
        <v>1</v>
      </c>
      <c r="H44" s="333">
        <v>47</v>
      </c>
      <c r="I44" s="333">
        <v>25</v>
      </c>
      <c r="J44" s="333">
        <v>36</v>
      </c>
      <c r="K44" s="332"/>
      <c r="L44" s="332"/>
      <c r="M44" s="333">
        <v>27</v>
      </c>
      <c r="N44" s="332"/>
      <c r="O44" s="388">
        <v>1418</v>
      </c>
    </row>
    <row r="45" spans="2:17" ht="15.75" customHeight="1" x14ac:dyDescent="0.25">
      <c r="B45" s="277" t="s">
        <v>202</v>
      </c>
      <c r="C45" s="332"/>
      <c r="D45" s="332"/>
      <c r="E45" s="332"/>
      <c r="F45" s="333">
        <v>1</v>
      </c>
      <c r="G45" s="332"/>
      <c r="H45" s="332"/>
      <c r="I45" s="332"/>
      <c r="J45" s="332"/>
      <c r="K45" s="387">
        <v>28</v>
      </c>
      <c r="L45" s="332"/>
      <c r="M45" s="332"/>
      <c r="N45" s="332"/>
      <c r="O45" s="388">
        <v>29</v>
      </c>
    </row>
    <row r="46" spans="2:17" ht="15.75" customHeight="1" x14ac:dyDescent="0.25">
      <c r="B46" s="277" t="s">
        <v>727</v>
      </c>
      <c r="C46" s="332"/>
      <c r="D46" s="332"/>
      <c r="E46" s="333">
        <v>17</v>
      </c>
      <c r="F46" s="332"/>
      <c r="G46" s="332"/>
      <c r="H46" s="332"/>
      <c r="I46" s="332"/>
      <c r="J46" s="332"/>
      <c r="K46" s="332"/>
      <c r="L46" s="332"/>
      <c r="M46" s="333">
        <v>40</v>
      </c>
      <c r="N46" s="332"/>
      <c r="O46" s="388">
        <v>57</v>
      </c>
    </row>
    <row r="47" spans="2:17" ht="15.75" customHeight="1" x14ac:dyDescent="0.25">
      <c r="B47" s="389" t="s">
        <v>45</v>
      </c>
      <c r="C47" s="390">
        <f>SUM(C40:C46)</f>
        <v>44085</v>
      </c>
      <c r="D47" s="390">
        <f t="shared" ref="D47:O47" si="1">SUM(D40:D46)</f>
        <v>313</v>
      </c>
      <c r="E47" s="390">
        <f t="shared" si="1"/>
        <v>3650</v>
      </c>
      <c r="F47" s="390">
        <f t="shared" si="1"/>
        <v>132</v>
      </c>
      <c r="G47" s="390">
        <f t="shared" si="1"/>
        <v>3</v>
      </c>
      <c r="H47" s="390">
        <f t="shared" si="1"/>
        <v>49</v>
      </c>
      <c r="I47" s="390">
        <f t="shared" si="1"/>
        <v>40</v>
      </c>
      <c r="J47" s="390">
        <f t="shared" si="1"/>
        <v>243</v>
      </c>
      <c r="K47" s="390">
        <f t="shared" si="1"/>
        <v>45</v>
      </c>
      <c r="L47" s="390">
        <f t="shared" si="1"/>
        <v>44</v>
      </c>
      <c r="M47" s="390">
        <f t="shared" si="1"/>
        <v>368</v>
      </c>
      <c r="N47" s="390">
        <f t="shared" si="1"/>
        <v>514</v>
      </c>
      <c r="O47" s="390">
        <f t="shared" si="1"/>
        <v>49486</v>
      </c>
    </row>
    <row r="48" spans="2:17" ht="15.75" customHeight="1" x14ac:dyDescent="0.25">
      <c r="B48" s="13" t="s">
        <v>53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5">
      <c r="B49" s="18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5">
      <c r="B50" s="1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5">
      <c r="B51" s="31" t="s">
        <v>203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4" spans="2:17" ht="15.75" customHeight="1" x14ac:dyDescent="0.25">
      <c r="B54" s="19" t="s">
        <v>728</v>
      </c>
      <c r="C54" s="31"/>
      <c r="D54" s="31"/>
      <c r="E54" s="31"/>
    </row>
    <row r="55" spans="2:17" ht="15.75" customHeight="1" x14ac:dyDescent="0.25">
      <c r="B55" s="274" t="s">
        <v>146</v>
      </c>
      <c r="C55" s="274" t="s">
        <v>147</v>
      </c>
      <c r="D55" s="275" t="s">
        <v>143</v>
      </c>
      <c r="E55" s="275" t="s">
        <v>729</v>
      </c>
    </row>
    <row r="56" spans="2:17" ht="15.75" customHeight="1" x14ac:dyDescent="0.25">
      <c r="B56" s="276" t="s">
        <v>220</v>
      </c>
      <c r="C56" s="277" t="s">
        <v>221</v>
      </c>
      <c r="D56" s="299"/>
      <c r="E56" s="300">
        <v>2185.46</v>
      </c>
    </row>
    <row r="57" spans="2:17" ht="15.75" customHeight="1" x14ac:dyDescent="0.25">
      <c r="B57" s="276" t="s">
        <v>204</v>
      </c>
      <c r="C57" s="277" t="s">
        <v>205</v>
      </c>
      <c r="D57" s="300">
        <v>194.73</v>
      </c>
      <c r="E57" s="299"/>
    </row>
    <row r="58" spans="2:17" ht="15.75" customHeight="1" x14ac:dyDescent="0.25">
      <c r="B58" s="276" t="s">
        <v>730</v>
      </c>
      <c r="C58" s="277" t="s">
        <v>212</v>
      </c>
      <c r="D58" s="300">
        <v>111.14</v>
      </c>
      <c r="E58" s="299"/>
    </row>
    <row r="59" spans="2:17" ht="15.75" customHeight="1" x14ac:dyDescent="0.25">
      <c r="B59" s="276" t="s">
        <v>208</v>
      </c>
      <c r="C59" s="277" t="s">
        <v>209</v>
      </c>
      <c r="D59" s="300">
        <v>84.19</v>
      </c>
      <c r="E59" s="299"/>
    </row>
    <row r="60" spans="2:17" ht="15.75" customHeight="1" x14ac:dyDescent="0.25">
      <c r="B60" s="276" t="s">
        <v>731</v>
      </c>
      <c r="C60" s="277" t="s">
        <v>215</v>
      </c>
      <c r="D60" s="300">
        <v>71.099999999999994</v>
      </c>
      <c r="E60" s="299"/>
    </row>
    <row r="61" spans="2:17" ht="15.75" customHeight="1" x14ac:dyDescent="0.25">
      <c r="B61" s="276" t="s">
        <v>216</v>
      </c>
      <c r="C61" s="277" t="s">
        <v>217</v>
      </c>
      <c r="D61" s="300">
        <v>47.05</v>
      </c>
      <c r="E61" s="299"/>
    </row>
    <row r="62" spans="2:17" ht="15.75" customHeight="1" x14ac:dyDescent="0.25">
      <c r="B62" s="276" t="s">
        <v>213</v>
      </c>
      <c r="C62" s="277" t="s">
        <v>214</v>
      </c>
      <c r="D62" s="300">
        <v>29.11</v>
      </c>
      <c r="E62" s="299"/>
    </row>
    <row r="63" spans="2:17" ht="15.75" customHeight="1" x14ac:dyDescent="0.25">
      <c r="B63" s="276" t="s">
        <v>206</v>
      </c>
      <c r="C63" s="277" t="s">
        <v>207</v>
      </c>
      <c r="D63" s="300">
        <v>25.73</v>
      </c>
      <c r="E63" s="299"/>
    </row>
    <row r="64" spans="2:17" ht="15.75" customHeight="1" x14ac:dyDescent="0.25">
      <c r="B64" s="276" t="s">
        <v>210</v>
      </c>
      <c r="C64" s="277" t="s">
        <v>211</v>
      </c>
      <c r="D64" s="300">
        <v>13.3</v>
      </c>
      <c r="E64" s="299"/>
    </row>
    <row r="65" spans="2:7" ht="15.75" customHeight="1" x14ac:dyDescent="0.25">
      <c r="B65" s="276" t="s">
        <v>732</v>
      </c>
      <c r="C65" s="277" t="s">
        <v>733</v>
      </c>
      <c r="D65" s="300">
        <v>5.6</v>
      </c>
      <c r="E65" s="299"/>
    </row>
    <row r="66" spans="2:7" ht="15.75" customHeight="1" x14ac:dyDescent="0.25">
      <c r="B66" s="280" t="s">
        <v>234</v>
      </c>
      <c r="C66" s="280"/>
      <c r="D66" s="301">
        <f>SUM(D56:D65)</f>
        <v>581.94999999999993</v>
      </c>
      <c r="E66" s="301">
        <f>SUM(E56:E65)</f>
        <v>2185.46</v>
      </c>
    </row>
    <row r="67" spans="2:7" ht="15.75" customHeight="1" x14ac:dyDescent="0.25">
      <c r="B67" s="280" t="s">
        <v>734</v>
      </c>
      <c r="C67" s="280"/>
      <c r="D67" s="301">
        <v>590.19000000000005</v>
      </c>
      <c r="E67" s="301">
        <v>2185.96</v>
      </c>
    </row>
    <row r="68" spans="2:7" ht="15.75" customHeight="1" x14ac:dyDescent="0.25">
      <c r="B68" s="13" t="s">
        <v>53</v>
      </c>
      <c r="C68" s="31"/>
      <c r="D68" s="31"/>
      <c r="E68" s="31"/>
      <c r="F68" s="31"/>
      <c r="G68" s="31"/>
    </row>
    <row r="69" spans="2:7" ht="15.75" customHeight="1" x14ac:dyDescent="0.25">
      <c r="B69" s="18"/>
      <c r="C69" s="31"/>
      <c r="D69" s="31"/>
      <c r="E69" s="31"/>
      <c r="F69" s="31"/>
      <c r="G69" s="31"/>
    </row>
    <row r="70" spans="2:7" ht="15.75" customHeight="1" x14ac:dyDescent="0.25">
      <c r="B70" s="38"/>
      <c r="C70" s="31"/>
      <c r="D70" s="31"/>
      <c r="E70" s="31"/>
      <c r="F70" s="31"/>
      <c r="G70" s="31"/>
    </row>
    <row r="71" spans="2:7" ht="15.75" customHeight="1" x14ac:dyDescent="0.25">
      <c r="B71" s="31"/>
      <c r="C71" s="31"/>
      <c r="D71" s="31"/>
      <c r="E71" s="31"/>
      <c r="F71" s="31"/>
      <c r="G71" s="31"/>
    </row>
    <row r="72" spans="2:7" ht="15.75" customHeight="1" x14ac:dyDescent="0.25">
      <c r="B72" s="39"/>
      <c r="C72" s="31"/>
      <c r="D72" s="31"/>
      <c r="E72" s="31"/>
      <c r="F72" s="31"/>
      <c r="G72" s="31"/>
    </row>
    <row r="73" spans="2:7" ht="15.75" customHeight="1" x14ac:dyDescent="0.25">
      <c r="B73" s="19" t="s">
        <v>762</v>
      </c>
      <c r="C73" s="31"/>
      <c r="D73" s="31"/>
      <c r="E73" s="31"/>
      <c r="F73" s="31"/>
      <c r="G73" s="31"/>
    </row>
    <row r="74" spans="2:7" ht="15.75" customHeight="1" x14ac:dyDescent="0.25">
      <c r="B74" s="274" t="s">
        <v>146</v>
      </c>
      <c r="C74" s="274" t="s">
        <v>147</v>
      </c>
      <c r="D74" s="275" t="s">
        <v>182</v>
      </c>
      <c r="E74" s="275" t="s">
        <v>183</v>
      </c>
      <c r="F74" s="275" t="s">
        <v>735</v>
      </c>
      <c r="G74" s="275" t="s">
        <v>196</v>
      </c>
    </row>
    <row r="75" spans="2:7" ht="15.75" customHeight="1" x14ac:dyDescent="0.25">
      <c r="B75" s="276" t="s">
        <v>222</v>
      </c>
      <c r="C75" s="277" t="s">
        <v>223</v>
      </c>
      <c r="D75" s="333">
        <v>1804</v>
      </c>
      <c r="E75" s="333">
        <v>61</v>
      </c>
      <c r="F75" s="332"/>
      <c r="G75" s="388">
        <v>1865</v>
      </c>
    </row>
    <row r="76" spans="2:7" ht="15.75" customHeight="1" x14ac:dyDescent="0.25">
      <c r="B76" s="276" t="s">
        <v>736</v>
      </c>
      <c r="C76" s="277" t="s">
        <v>737</v>
      </c>
      <c r="D76" s="333">
        <v>1135</v>
      </c>
      <c r="E76" s="332"/>
      <c r="F76" s="332"/>
      <c r="G76" s="388">
        <v>1135</v>
      </c>
    </row>
    <row r="77" spans="2:7" ht="15.75" customHeight="1" x14ac:dyDescent="0.25">
      <c r="B77" s="276" t="s">
        <v>226</v>
      </c>
      <c r="C77" s="277" t="s">
        <v>227</v>
      </c>
      <c r="D77" s="332"/>
      <c r="E77" s="333">
        <v>40</v>
      </c>
      <c r="F77" s="333">
        <v>683</v>
      </c>
      <c r="G77" s="388">
        <v>723</v>
      </c>
    </row>
    <row r="78" spans="2:7" ht="15.75" customHeight="1" x14ac:dyDescent="0.25">
      <c r="B78" s="276" t="s">
        <v>738</v>
      </c>
      <c r="C78" s="277" t="s">
        <v>739</v>
      </c>
      <c r="D78" s="333">
        <v>288</v>
      </c>
      <c r="E78" s="332"/>
      <c r="F78" s="333">
        <v>325</v>
      </c>
      <c r="G78" s="388">
        <v>613</v>
      </c>
    </row>
    <row r="79" spans="2:7" ht="15.75" customHeight="1" x14ac:dyDescent="0.25">
      <c r="B79" s="276" t="s">
        <v>218</v>
      </c>
      <c r="C79" s="277" t="s">
        <v>219</v>
      </c>
      <c r="D79" s="333">
        <v>343</v>
      </c>
      <c r="E79" s="332"/>
      <c r="F79" s="332"/>
      <c r="G79" s="388">
        <v>343</v>
      </c>
    </row>
    <row r="80" spans="2:7" ht="15.75" customHeight="1" x14ac:dyDescent="0.25">
      <c r="B80" s="276" t="s">
        <v>740</v>
      </c>
      <c r="C80" s="277" t="s">
        <v>741</v>
      </c>
      <c r="D80" s="333">
        <v>33</v>
      </c>
      <c r="E80" s="333">
        <v>254</v>
      </c>
      <c r="F80" s="332"/>
      <c r="G80" s="388">
        <v>287</v>
      </c>
    </row>
    <row r="81" spans="2:7" ht="15.75" customHeight="1" x14ac:dyDescent="0.25">
      <c r="B81" s="276" t="s">
        <v>742</v>
      </c>
      <c r="C81" s="277" t="s">
        <v>743</v>
      </c>
      <c r="D81" s="333">
        <v>239</v>
      </c>
      <c r="E81" s="332"/>
      <c r="F81" s="333">
        <v>8</v>
      </c>
      <c r="G81" s="388">
        <v>247</v>
      </c>
    </row>
    <row r="82" spans="2:7" ht="15.75" customHeight="1" x14ac:dyDescent="0.25">
      <c r="B82" s="276" t="s">
        <v>220</v>
      </c>
      <c r="C82" s="277" t="s">
        <v>221</v>
      </c>
      <c r="D82" s="333">
        <v>208</v>
      </c>
      <c r="E82" s="333">
        <v>21</v>
      </c>
      <c r="F82" s="333">
        <v>6</v>
      </c>
      <c r="G82" s="388">
        <v>235</v>
      </c>
    </row>
    <row r="83" spans="2:7" ht="15.75" customHeight="1" x14ac:dyDescent="0.25">
      <c r="B83" s="276" t="s">
        <v>224</v>
      </c>
      <c r="C83" s="277" t="s">
        <v>225</v>
      </c>
      <c r="D83" s="333">
        <v>182</v>
      </c>
      <c r="E83" s="333">
        <v>20</v>
      </c>
      <c r="F83" s="333">
        <v>15</v>
      </c>
      <c r="G83" s="388">
        <v>217</v>
      </c>
    </row>
    <row r="84" spans="2:7" ht="15.75" customHeight="1" x14ac:dyDescent="0.25">
      <c r="B84" s="276" t="s">
        <v>230</v>
      </c>
      <c r="C84" s="277" t="s">
        <v>231</v>
      </c>
      <c r="D84" s="333">
        <v>161</v>
      </c>
      <c r="E84" s="333">
        <v>15</v>
      </c>
      <c r="F84" s="333">
        <v>5</v>
      </c>
      <c r="G84" s="388">
        <v>181</v>
      </c>
    </row>
    <row r="85" spans="2:7" ht="15.75" customHeight="1" x14ac:dyDescent="0.25">
      <c r="B85" s="276" t="s">
        <v>208</v>
      </c>
      <c r="C85" s="277" t="s">
        <v>209</v>
      </c>
      <c r="D85" s="333">
        <v>173</v>
      </c>
      <c r="E85" s="333">
        <v>4</v>
      </c>
      <c r="F85" s="332"/>
      <c r="G85" s="388">
        <v>177</v>
      </c>
    </row>
    <row r="86" spans="2:7" ht="15.75" customHeight="1" x14ac:dyDescent="0.25">
      <c r="B86" s="276" t="s">
        <v>744</v>
      </c>
      <c r="C86" s="277" t="s">
        <v>223</v>
      </c>
      <c r="D86" s="333">
        <v>165</v>
      </c>
      <c r="E86" s="332"/>
      <c r="F86" s="332"/>
      <c r="G86" s="388">
        <v>165</v>
      </c>
    </row>
    <row r="87" spans="2:7" ht="15.75" customHeight="1" x14ac:dyDescent="0.25">
      <c r="B87" s="276" t="s">
        <v>745</v>
      </c>
      <c r="C87" s="277" t="s">
        <v>746</v>
      </c>
      <c r="D87" s="333">
        <v>82</v>
      </c>
      <c r="E87" s="333">
        <v>2</v>
      </c>
      <c r="F87" s="333">
        <v>78</v>
      </c>
      <c r="G87" s="388">
        <v>162</v>
      </c>
    </row>
    <row r="88" spans="2:7" ht="15.75" customHeight="1" x14ac:dyDescent="0.25">
      <c r="B88" s="276" t="s">
        <v>747</v>
      </c>
      <c r="C88" s="277" t="s">
        <v>748</v>
      </c>
      <c r="D88" s="333">
        <v>134</v>
      </c>
      <c r="E88" s="332"/>
      <c r="F88" s="332"/>
      <c r="G88" s="388">
        <v>134</v>
      </c>
    </row>
    <row r="89" spans="2:7" ht="15.75" customHeight="1" x14ac:dyDescent="0.25">
      <c r="B89" s="276" t="s">
        <v>216</v>
      </c>
      <c r="C89" s="277" t="s">
        <v>217</v>
      </c>
      <c r="D89" s="333">
        <v>107</v>
      </c>
      <c r="E89" s="333">
        <v>5</v>
      </c>
      <c r="F89" s="332"/>
      <c r="G89" s="388">
        <v>112</v>
      </c>
    </row>
    <row r="90" spans="2:7" ht="15.75" customHeight="1" x14ac:dyDescent="0.25">
      <c r="B90" s="276" t="s">
        <v>749</v>
      </c>
      <c r="C90" s="277" t="s">
        <v>223</v>
      </c>
      <c r="D90" s="333">
        <v>105</v>
      </c>
      <c r="E90" s="332"/>
      <c r="F90" s="332"/>
      <c r="G90" s="388">
        <v>105</v>
      </c>
    </row>
    <row r="91" spans="2:7" ht="15.75" customHeight="1" x14ac:dyDescent="0.25">
      <c r="B91" s="276" t="s">
        <v>228</v>
      </c>
      <c r="C91" s="277" t="s">
        <v>229</v>
      </c>
      <c r="D91" s="333">
        <v>56</v>
      </c>
      <c r="E91" s="333">
        <v>26</v>
      </c>
      <c r="F91" s="333">
        <v>2</v>
      </c>
      <c r="G91" s="388">
        <v>84</v>
      </c>
    </row>
    <row r="92" spans="2:7" ht="15.75" customHeight="1" x14ac:dyDescent="0.25">
      <c r="B92" s="276" t="s">
        <v>750</v>
      </c>
      <c r="C92" s="277" t="s">
        <v>223</v>
      </c>
      <c r="D92" s="333">
        <v>76</v>
      </c>
      <c r="E92" s="332"/>
      <c r="F92" s="332"/>
      <c r="G92" s="388">
        <v>76</v>
      </c>
    </row>
    <row r="93" spans="2:7" ht="15.75" customHeight="1" x14ac:dyDescent="0.25">
      <c r="B93" s="276" t="s">
        <v>751</v>
      </c>
      <c r="C93" s="277" t="s">
        <v>752</v>
      </c>
      <c r="D93" s="333">
        <v>72</v>
      </c>
      <c r="E93" s="332"/>
      <c r="F93" s="332"/>
      <c r="G93" s="388">
        <v>72</v>
      </c>
    </row>
    <row r="94" spans="2:7" ht="15.75" customHeight="1" x14ac:dyDescent="0.25">
      <c r="B94" s="276" t="s">
        <v>232</v>
      </c>
      <c r="C94" s="277" t="s">
        <v>233</v>
      </c>
      <c r="D94" s="333">
        <v>66</v>
      </c>
      <c r="E94" s="332"/>
      <c r="F94" s="332"/>
      <c r="G94" s="388">
        <v>66</v>
      </c>
    </row>
    <row r="95" spans="2:7" ht="15.75" customHeight="1" x14ac:dyDescent="0.25">
      <c r="B95" s="276" t="s">
        <v>753</v>
      </c>
      <c r="C95" s="277" t="s">
        <v>754</v>
      </c>
      <c r="D95" s="333">
        <v>57</v>
      </c>
      <c r="E95" s="333">
        <v>6</v>
      </c>
      <c r="F95" s="333">
        <v>2</v>
      </c>
      <c r="G95" s="388">
        <v>65</v>
      </c>
    </row>
    <row r="96" spans="2:7" ht="15.75" customHeight="1" x14ac:dyDescent="0.25">
      <c r="B96" s="276" t="s">
        <v>755</v>
      </c>
      <c r="C96" s="277" t="s">
        <v>756</v>
      </c>
      <c r="D96" s="333">
        <v>61</v>
      </c>
      <c r="E96" s="333">
        <v>3</v>
      </c>
      <c r="F96" s="332"/>
      <c r="G96" s="388">
        <v>64</v>
      </c>
    </row>
    <row r="97" spans="2:7" ht="15.75" customHeight="1" x14ac:dyDescent="0.25">
      <c r="B97" s="276" t="s">
        <v>757</v>
      </c>
      <c r="C97" s="277" t="s">
        <v>758</v>
      </c>
      <c r="D97" s="333">
        <v>62</v>
      </c>
      <c r="E97" s="332"/>
      <c r="F97" s="333">
        <v>2</v>
      </c>
      <c r="G97" s="388">
        <v>64</v>
      </c>
    </row>
    <row r="98" spans="2:7" ht="15.75" customHeight="1" x14ac:dyDescent="0.25">
      <c r="B98" s="276" t="s">
        <v>759</v>
      </c>
      <c r="C98" s="277" t="s">
        <v>760</v>
      </c>
      <c r="D98" s="333">
        <v>57</v>
      </c>
      <c r="E98" s="333">
        <v>3</v>
      </c>
      <c r="F98" s="332"/>
      <c r="G98" s="388">
        <v>60</v>
      </c>
    </row>
    <row r="99" spans="2:7" ht="15.75" customHeight="1" x14ac:dyDescent="0.25">
      <c r="B99" s="280" t="s">
        <v>234</v>
      </c>
      <c r="C99" s="280"/>
      <c r="D99" s="390">
        <v>5666</v>
      </c>
      <c r="E99" s="390">
        <v>460</v>
      </c>
      <c r="F99" s="390">
        <v>1126</v>
      </c>
      <c r="G99" s="390">
        <v>7252</v>
      </c>
    </row>
    <row r="100" spans="2:7" ht="15.75" customHeight="1" x14ac:dyDescent="0.25">
      <c r="B100" s="280" t="s">
        <v>761</v>
      </c>
      <c r="C100" s="280"/>
      <c r="D100" s="390">
        <v>7271</v>
      </c>
      <c r="E100" s="390">
        <v>1104</v>
      </c>
      <c r="F100" s="390">
        <v>1201</v>
      </c>
      <c r="G100" s="390">
        <v>9576</v>
      </c>
    </row>
    <row r="101" spans="2:7" ht="15.75" customHeight="1" x14ac:dyDescent="0.25">
      <c r="B101" s="13" t="s">
        <v>53</v>
      </c>
      <c r="C101" s="31"/>
      <c r="D101" s="31"/>
      <c r="E101" s="31"/>
      <c r="F101" s="31"/>
      <c r="G101" s="31"/>
    </row>
    <row r="102" spans="2:7" ht="15.75" customHeight="1" x14ac:dyDescent="0.25">
      <c r="B102" s="18" t="s">
        <v>235</v>
      </c>
      <c r="C102" s="31"/>
      <c r="D102" s="31"/>
      <c r="E102" s="31"/>
      <c r="F102" s="31"/>
      <c r="G102" s="31"/>
    </row>
    <row r="103" spans="2:7" ht="15.75" customHeight="1" x14ac:dyDescent="0.25">
      <c r="B103" s="18"/>
      <c r="C103" s="31"/>
      <c r="D103" s="31"/>
      <c r="E103" s="31"/>
      <c r="F103" s="31"/>
      <c r="G103" s="31"/>
    </row>
    <row r="104" spans="2:7" ht="15.75" customHeight="1" x14ac:dyDescent="0.25">
      <c r="B104" s="18"/>
      <c r="C104" s="31"/>
      <c r="D104" s="31"/>
      <c r="E104" s="31"/>
      <c r="F104" s="31"/>
      <c r="G104" s="31"/>
    </row>
    <row r="105" spans="2:7" ht="15.75" customHeight="1" x14ac:dyDescent="0.25">
      <c r="B105" s="15" t="s">
        <v>181</v>
      </c>
      <c r="C105" s="31"/>
      <c r="D105" s="31"/>
      <c r="E105" s="31"/>
      <c r="F105" s="31"/>
      <c r="G105" s="31"/>
    </row>
    <row r="106" spans="2:7" ht="15.75" customHeight="1" x14ac:dyDescent="0.25">
      <c r="B106" s="22" t="s">
        <v>763</v>
      </c>
      <c r="C106" s="31"/>
      <c r="D106" s="31"/>
      <c r="E106" s="31"/>
      <c r="F106" s="31"/>
      <c r="G106" s="31"/>
    </row>
  </sheetData>
  <mergeCells count="4">
    <mergeCell ref="B66:C66"/>
    <mergeCell ref="B67:C67"/>
    <mergeCell ref="B99:C99"/>
    <mergeCell ref="B100:C100"/>
  </mergeCells>
  <hyperlinks>
    <hyperlink ref="A1" location="INDICE!A1" display="(Ir al Índice)" xr:uid="{520D57D8-4AEB-493E-9A7A-A845DD1119E2}"/>
  </hyperlinks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</sheetPr>
  <dimension ref="A1:H96"/>
  <sheetViews>
    <sheetView showGridLines="0" topLeftCell="A61" zoomScale="97" workbookViewId="0">
      <selection activeCell="H94" sqref="H94"/>
    </sheetView>
  </sheetViews>
  <sheetFormatPr baseColWidth="10" defaultColWidth="14.42578125" defaultRowHeight="15" customHeight="1" x14ac:dyDescent="0.25"/>
  <cols>
    <col min="1" max="1" width="4.28515625" customWidth="1"/>
    <col min="2" max="2" width="31.7109375" customWidth="1"/>
    <col min="3" max="3" width="24.7109375" customWidth="1"/>
    <col min="4" max="4" width="22.42578125" customWidth="1"/>
    <col min="5" max="5" width="19" customWidth="1"/>
    <col min="6" max="6" width="16.42578125" customWidth="1"/>
    <col min="7" max="26" width="11.5703125" customWidth="1"/>
  </cols>
  <sheetData>
    <row r="1" spans="1:7" x14ac:dyDescent="0.25">
      <c r="A1" s="78" t="s">
        <v>43</v>
      </c>
    </row>
    <row r="3" spans="1:7" ht="15.75" x14ac:dyDescent="0.25">
      <c r="A3" s="3" t="s">
        <v>14</v>
      </c>
      <c r="B3" s="4"/>
    </row>
    <row r="4" spans="1:7" x14ac:dyDescent="0.25">
      <c r="A4" s="4"/>
      <c r="B4" s="4"/>
    </row>
    <row r="5" spans="1:7" x14ac:dyDescent="0.25">
      <c r="A5" s="4"/>
      <c r="B5" s="4" t="s">
        <v>15</v>
      </c>
      <c r="C5" s="40"/>
      <c r="D5" s="40"/>
    </row>
    <row r="6" spans="1:7" x14ac:dyDescent="0.25">
      <c r="A6" s="4"/>
      <c r="B6" s="4"/>
      <c r="C6" s="40"/>
      <c r="D6" s="40"/>
    </row>
    <row r="7" spans="1:7" x14ac:dyDescent="0.25">
      <c r="B7" s="19" t="s">
        <v>765</v>
      </c>
      <c r="C7" s="36"/>
      <c r="D7" s="36"/>
      <c r="G7" s="15" t="s">
        <v>565</v>
      </c>
    </row>
    <row r="8" spans="1:7" ht="27.75" customHeight="1" x14ac:dyDescent="0.25">
      <c r="A8" s="31"/>
      <c r="B8" s="288" t="s">
        <v>44</v>
      </c>
      <c r="C8" s="289" t="s">
        <v>237</v>
      </c>
      <c r="D8" s="288" t="s">
        <v>238</v>
      </c>
      <c r="E8" s="31"/>
      <c r="F8" s="31"/>
      <c r="G8" s="22" t="s">
        <v>766</v>
      </c>
    </row>
    <row r="9" spans="1:7" x14ac:dyDescent="0.25">
      <c r="A9" s="31"/>
      <c r="B9" s="285" t="s">
        <v>66</v>
      </c>
      <c r="C9" s="295">
        <v>29</v>
      </c>
      <c r="D9" s="294">
        <v>87.34</v>
      </c>
      <c r="E9" s="31"/>
      <c r="F9" s="31"/>
      <c r="G9" s="31"/>
    </row>
    <row r="10" spans="1:7" x14ac:dyDescent="0.25">
      <c r="A10" s="31"/>
      <c r="B10" s="285" t="s">
        <v>611</v>
      </c>
      <c r="C10" s="295">
        <v>20</v>
      </c>
      <c r="D10" s="294">
        <v>200.5</v>
      </c>
      <c r="E10" s="31"/>
      <c r="F10" s="31"/>
      <c r="G10" s="31"/>
    </row>
    <row r="11" spans="1:7" x14ac:dyDescent="0.25">
      <c r="A11" s="31"/>
      <c r="B11" s="285" t="s">
        <v>68</v>
      </c>
      <c r="C11" s="295">
        <v>10</v>
      </c>
      <c r="D11" s="294">
        <v>566.54999999999995</v>
      </c>
      <c r="E11" s="31"/>
      <c r="F11" s="31"/>
      <c r="G11" s="31"/>
    </row>
    <row r="12" spans="1:7" x14ac:dyDescent="0.25">
      <c r="A12" s="31"/>
      <c r="B12" s="285" t="s">
        <v>58</v>
      </c>
      <c r="C12" s="295">
        <v>103</v>
      </c>
      <c r="D12" s="294">
        <v>72.67</v>
      </c>
      <c r="E12" s="31"/>
      <c r="F12" s="31"/>
      <c r="G12" s="31"/>
    </row>
    <row r="13" spans="1:7" x14ac:dyDescent="0.25">
      <c r="A13" s="31"/>
      <c r="B13" s="285" t="s">
        <v>69</v>
      </c>
      <c r="C13" s="295">
        <v>152</v>
      </c>
      <c r="D13" s="294">
        <v>316.97000000000003</v>
      </c>
      <c r="E13" s="31"/>
      <c r="F13" s="31"/>
      <c r="G13" s="31"/>
    </row>
    <row r="14" spans="1:7" x14ac:dyDescent="0.25">
      <c r="A14" s="31"/>
      <c r="B14" s="285" t="s">
        <v>59</v>
      </c>
      <c r="C14" s="295">
        <v>63</v>
      </c>
      <c r="D14" s="294">
        <v>268.16000000000003</v>
      </c>
      <c r="E14" s="31"/>
      <c r="F14" s="31"/>
      <c r="G14" s="31"/>
    </row>
    <row r="15" spans="1:7" x14ac:dyDescent="0.25">
      <c r="A15" s="31"/>
      <c r="B15" s="285" t="s">
        <v>60</v>
      </c>
      <c r="C15" s="295">
        <v>32</v>
      </c>
      <c r="D15" s="294">
        <v>1517.62</v>
      </c>
      <c r="E15" s="31"/>
      <c r="F15" s="31"/>
      <c r="G15" s="31"/>
    </row>
    <row r="16" spans="1:7" x14ac:dyDescent="0.25">
      <c r="A16" s="31"/>
      <c r="B16" s="285" t="s">
        <v>70</v>
      </c>
      <c r="C16" s="295">
        <v>3</v>
      </c>
      <c r="D16" s="294">
        <v>6.96</v>
      </c>
      <c r="E16" s="31"/>
      <c r="F16" s="31"/>
      <c r="G16" s="31"/>
    </row>
    <row r="17" spans="1:7" x14ac:dyDescent="0.25">
      <c r="A17" s="31"/>
      <c r="B17" s="285" t="s">
        <v>71</v>
      </c>
      <c r="C17" s="295">
        <v>106</v>
      </c>
      <c r="D17" s="294">
        <v>896.2</v>
      </c>
      <c r="E17" s="31"/>
      <c r="F17" s="31"/>
      <c r="G17" s="31"/>
    </row>
    <row r="18" spans="1:7" x14ac:dyDescent="0.25">
      <c r="B18" s="285" t="s">
        <v>72</v>
      </c>
      <c r="C18" s="295">
        <v>4</v>
      </c>
      <c r="D18" s="294">
        <v>87.79</v>
      </c>
    </row>
    <row r="19" spans="1:7" x14ac:dyDescent="0.25">
      <c r="B19" s="285" t="s">
        <v>73</v>
      </c>
      <c r="C19" s="295">
        <v>83</v>
      </c>
      <c r="D19" s="294">
        <v>230.98</v>
      </c>
    </row>
    <row r="20" spans="1:7" x14ac:dyDescent="0.25">
      <c r="B20" s="285" t="s">
        <v>74</v>
      </c>
      <c r="C20" s="295">
        <v>50</v>
      </c>
      <c r="D20" s="294">
        <v>223.57</v>
      </c>
    </row>
    <row r="21" spans="1:7" x14ac:dyDescent="0.25">
      <c r="B21" s="285" t="s">
        <v>75</v>
      </c>
      <c r="C21" s="295">
        <v>3</v>
      </c>
      <c r="D21" s="294">
        <v>40.03</v>
      </c>
    </row>
    <row r="22" spans="1:7" ht="15.75" customHeight="1" x14ac:dyDescent="0.25">
      <c r="B22" s="285" t="s">
        <v>61</v>
      </c>
      <c r="C22" s="295">
        <v>3</v>
      </c>
      <c r="D22" s="294">
        <v>67.33</v>
      </c>
    </row>
    <row r="23" spans="1:7" ht="15.75" customHeight="1" x14ac:dyDescent="0.25">
      <c r="B23" s="285" t="s">
        <v>50</v>
      </c>
      <c r="C23" s="295">
        <v>40</v>
      </c>
      <c r="D23" s="294">
        <v>346.56</v>
      </c>
    </row>
    <row r="24" spans="1:7" ht="15.75" customHeight="1" x14ac:dyDescent="0.25">
      <c r="B24" s="285" t="s">
        <v>76</v>
      </c>
      <c r="C24" s="295">
        <v>1</v>
      </c>
      <c r="D24" s="294">
        <v>0.52</v>
      </c>
    </row>
    <row r="25" spans="1:7" ht="15.75" customHeight="1" x14ac:dyDescent="0.25">
      <c r="B25" s="285" t="s">
        <v>77</v>
      </c>
      <c r="C25" s="295">
        <v>87</v>
      </c>
      <c r="D25" s="294">
        <v>399.51</v>
      </c>
    </row>
    <row r="26" spans="1:7" ht="15.75" customHeight="1" x14ac:dyDescent="0.25">
      <c r="B26" s="285" t="s">
        <v>78</v>
      </c>
      <c r="C26" s="295">
        <v>13</v>
      </c>
      <c r="D26" s="294">
        <v>847.3</v>
      </c>
    </row>
    <row r="27" spans="1:7" ht="15.75" customHeight="1" x14ac:dyDescent="0.25">
      <c r="B27" s="285" t="s">
        <v>79</v>
      </c>
      <c r="C27" s="295">
        <v>5</v>
      </c>
      <c r="D27" s="294">
        <v>3.18</v>
      </c>
    </row>
    <row r="28" spans="1:7" ht="15.75" customHeight="1" x14ac:dyDescent="0.25">
      <c r="B28" s="285" t="s">
        <v>612</v>
      </c>
      <c r="C28" s="295">
        <v>558</v>
      </c>
      <c r="D28" s="294">
        <v>1902.77</v>
      </c>
    </row>
    <row r="29" spans="1:7" ht="15.75" customHeight="1" x14ac:dyDescent="0.25">
      <c r="B29" s="285" t="s">
        <v>80</v>
      </c>
      <c r="C29" s="295">
        <v>137</v>
      </c>
      <c r="D29" s="294">
        <v>443.91</v>
      </c>
    </row>
    <row r="30" spans="1:7" ht="15.75" customHeight="1" x14ac:dyDescent="0.25">
      <c r="B30" s="285" t="s">
        <v>244</v>
      </c>
      <c r="C30" s="295">
        <v>27</v>
      </c>
      <c r="D30" s="294">
        <v>197.31</v>
      </c>
    </row>
    <row r="31" spans="1:7" ht="15.75" customHeight="1" x14ac:dyDescent="0.25">
      <c r="B31" s="290" t="s">
        <v>45</v>
      </c>
      <c r="C31" s="291">
        <f>SUM(C9:C30)</f>
        <v>1529</v>
      </c>
      <c r="D31" s="292">
        <f>SUM(D9:D30)</f>
        <v>8723.73</v>
      </c>
    </row>
    <row r="32" spans="1:7" ht="15.75" customHeight="1" x14ac:dyDescent="0.25">
      <c r="B32" s="13" t="s">
        <v>53</v>
      </c>
      <c r="C32" s="41"/>
      <c r="D32" s="41"/>
    </row>
    <row r="38" spans="2:8" ht="15.75" customHeight="1" x14ac:dyDescent="0.25">
      <c r="B38" s="19" t="s">
        <v>767</v>
      </c>
      <c r="C38" s="43"/>
      <c r="D38" s="43"/>
      <c r="E38" s="43"/>
      <c r="F38" s="43"/>
      <c r="G38" s="43"/>
    </row>
    <row r="39" spans="2:8" ht="15" customHeight="1" x14ac:dyDescent="0.25">
      <c r="B39" s="391" t="s">
        <v>44</v>
      </c>
      <c r="C39" s="391" t="s">
        <v>239</v>
      </c>
      <c r="D39" s="392"/>
      <c r="E39" s="392"/>
      <c r="F39" s="392"/>
      <c r="G39" s="391" t="s">
        <v>45</v>
      </c>
    </row>
    <row r="40" spans="2:8" ht="24" customHeight="1" x14ac:dyDescent="0.25">
      <c r="B40" s="392"/>
      <c r="C40" s="283" t="s">
        <v>240</v>
      </c>
      <c r="D40" s="283" t="s">
        <v>241</v>
      </c>
      <c r="E40" s="283" t="s">
        <v>242</v>
      </c>
      <c r="F40" s="283" t="s">
        <v>243</v>
      </c>
      <c r="G40" s="392"/>
    </row>
    <row r="41" spans="2:8" ht="15.75" customHeight="1" x14ac:dyDescent="0.25">
      <c r="B41" s="393" t="s">
        <v>66</v>
      </c>
      <c r="C41" s="394">
        <v>21.046999999999997</v>
      </c>
      <c r="D41" s="394">
        <v>5.5719999999999992</v>
      </c>
      <c r="E41" s="394"/>
      <c r="F41" s="394">
        <v>60.720999999999997</v>
      </c>
      <c r="G41" s="395">
        <f>SUM(C41:F41)</f>
        <v>87.339999999999989</v>
      </c>
      <c r="H41" s="202"/>
    </row>
    <row r="42" spans="2:8" ht="15.75" customHeight="1" x14ac:dyDescent="0.25">
      <c r="B42" s="393" t="s">
        <v>611</v>
      </c>
      <c r="C42" s="394">
        <v>188.761</v>
      </c>
      <c r="D42" s="394"/>
      <c r="E42" s="394"/>
      <c r="F42" s="394">
        <v>11.738</v>
      </c>
      <c r="G42" s="395">
        <f t="shared" ref="G42:G62" si="0">SUM(C42:F42)</f>
        <v>200.499</v>
      </c>
      <c r="H42" s="202"/>
    </row>
    <row r="43" spans="2:8" ht="15.75" customHeight="1" x14ac:dyDescent="0.25">
      <c r="B43" s="393" t="s">
        <v>68</v>
      </c>
      <c r="C43" s="394">
        <v>545.71899999999994</v>
      </c>
      <c r="D43" s="394"/>
      <c r="E43" s="394"/>
      <c r="F43" s="394">
        <v>20.83</v>
      </c>
      <c r="G43" s="395">
        <f t="shared" si="0"/>
        <v>566.54899999999998</v>
      </c>
      <c r="H43" s="202"/>
    </row>
    <row r="44" spans="2:8" ht="15.75" customHeight="1" x14ac:dyDescent="0.25">
      <c r="B44" s="393" t="s">
        <v>58</v>
      </c>
      <c r="C44" s="394"/>
      <c r="D44" s="394"/>
      <c r="E44" s="394">
        <v>10.251999999999999</v>
      </c>
      <c r="F44" s="394">
        <v>62.419999999999987</v>
      </c>
      <c r="G44" s="395">
        <f t="shared" si="0"/>
        <v>72.671999999999983</v>
      </c>
      <c r="H44" s="202"/>
    </row>
    <row r="45" spans="2:8" ht="15.75" customHeight="1" x14ac:dyDescent="0.25">
      <c r="B45" s="393" t="s">
        <v>69</v>
      </c>
      <c r="C45" s="394">
        <v>41.289000000000001</v>
      </c>
      <c r="D45" s="394"/>
      <c r="E45" s="394"/>
      <c r="F45" s="394">
        <v>275.67600000000004</v>
      </c>
      <c r="G45" s="395">
        <f t="shared" si="0"/>
        <v>316.96500000000003</v>
      </c>
      <c r="H45" s="202"/>
    </row>
    <row r="46" spans="2:8" ht="15.75" customHeight="1" x14ac:dyDescent="0.25">
      <c r="B46" s="393" t="s">
        <v>59</v>
      </c>
      <c r="C46" s="394">
        <v>86.201999999999984</v>
      </c>
      <c r="D46" s="394"/>
      <c r="E46" s="394"/>
      <c r="F46" s="394">
        <v>181.95499999999998</v>
      </c>
      <c r="G46" s="395">
        <f t="shared" si="0"/>
        <v>268.15699999999998</v>
      </c>
      <c r="H46" s="202"/>
    </row>
    <row r="47" spans="2:8" ht="15.75" customHeight="1" x14ac:dyDescent="0.25">
      <c r="B47" s="393" t="s">
        <v>60</v>
      </c>
      <c r="C47" s="394">
        <v>516.99400000000003</v>
      </c>
      <c r="D47" s="394">
        <v>960.97</v>
      </c>
      <c r="E47" s="394"/>
      <c r="F47" s="394">
        <v>39.656000000000013</v>
      </c>
      <c r="G47" s="395">
        <f t="shared" si="0"/>
        <v>1517.62</v>
      </c>
      <c r="H47" s="202"/>
    </row>
    <row r="48" spans="2:8" ht="15.75" customHeight="1" x14ac:dyDescent="0.25">
      <c r="B48" s="393" t="s">
        <v>70</v>
      </c>
      <c r="C48" s="394">
        <v>3.1589999999999998</v>
      </c>
      <c r="D48" s="394"/>
      <c r="E48" s="394"/>
      <c r="F48" s="394">
        <v>3.802</v>
      </c>
      <c r="G48" s="395">
        <f t="shared" si="0"/>
        <v>6.9610000000000003</v>
      </c>
      <c r="H48" s="202"/>
    </row>
    <row r="49" spans="2:8" ht="15.75" customHeight="1" x14ac:dyDescent="0.25">
      <c r="B49" s="393" t="s">
        <v>71</v>
      </c>
      <c r="C49" s="394">
        <v>52.64</v>
      </c>
      <c r="D49" s="394"/>
      <c r="E49" s="394">
        <v>21.08</v>
      </c>
      <c r="F49" s="394">
        <v>822.47799999999984</v>
      </c>
      <c r="G49" s="395">
        <f t="shared" si="0"/>
        <v>896.19799999999987</v>
      </c>
      <c r="H49" s="202"/>
    </row>
    <row r="50" spans="2:8" ht="15.75" customHeight="1" x14ac:dyDescent="0.25">
      <c r="B50" s="393" t="s">
        <v>72</v>
      </c>
      <c r="C50" s="394"/>
      <c r="D50" s="394"/>
      <c r="E50" s="394"/>
      <c r="F50" s="394">
        <v>87.790999999999997</v>
      </c>
      <c r="G50" s="395">
        <f t="shared" si="0"/>
        <v>87.790999999999997</v>
      </c>
      <c r="H50" s="202"/>
    </row>
    <row r="51" spans="2:8" ht="15.75" customHeight="1" x14ac:dyDescent="0.25">
      <c r="B51" s="393" t="s">
        <v>73</v>
      </c>
      <c r="C51" s="394">
        <v>1.7159999999999997</v>
      </c>
      <c r="D51" s="394">
        <v>27.47</v>
      </c>
      <c r="E51" s="394"/>
      <c r="F51" s="394">
        <v>201.78400000000002</v>
      </c>
      <c r="G51" s="395">
        <f t="shared" si="0"/>
        <v>230.97000000000003</v>
      </c>
      <c r="H51" s="202"/>
    </row>
    <row r="52" spans="2:8" ht="15.75" customHeight="1" x14ac:dyDescent="0.25">
      <c r="B52" s="393" t="s">
        <v>74</v>
      </c>
      <c r="C52" s="394">
        <v>2.58</v>
      </c>
      <c r="D52" s="394"/>
      <c r="E52" s="394"/>
      <c r="F52" s="394">
        <v>220.98899999999998</v>
      </c>
      <c r="G52" s="395">
        <f t="shared" si="0"/>
        <v>223.56899999999999</v>
      </c>
      <c r="H52" s="202"/>
    </row>
    <row r="53" spans="2:8" ht="15.75" customHeight="1" x14ac:dyDescent="0.25">
      <c r="B53" s="393" t="s">
        <v>75</v>
      </c>
      <c r="C53" s="394"/>
      <c r="D53" s="394"/>
      <c r="E53" s="394"/>
      <c r="F53" s="394">
        <v>40.03</v>
      </c>
      <c r="G53" s="395">
        <f t="shared" si="0"/>
        <v>40.03</v>
      </c>
      <c r="H53" s="202"/>
    </row>
    <row r="54" spans="2:8" ht="15.75" customHeight="1" x14ac:dyDescent="0.25">
      <c r="B54" s="393" t="s">
        <v>61</v>
      </c>
      <c r="C54" s="394">
        <v>59.33</v>
      </c>
      <c r="D54" s="394"/>
      <c r="E54" s="394"/>
      <c r="F54" s="394">
        <v>8</v>
      </c>
      <c r="G54" s="395">
        <f t="shared" si="0"/>
        <v>67.33</v>
      </c>
      <c r="H54" s="202"/>
    </row>
    <row r="55" spans="2:8" ht="15.75" customHeight="1" x14ac:dyDescent="0.25">
      <c r="B55" s="393" t="s">
        <v>50</v>
      </c>
      <c r="C55" s="394">
        <v>38.69</v>
      </c>
      <c r="D55" s="394">
        <v>140.32400000000001</v>
      </c>
      <c r="E55" s="394"/>
      <c r="F55" s="394">
        <v>167.54899999999998</v>
      </c>
      <c r="G55" s="395">
        <f t="shared" si="0"/>
        <v>346.56299999999999</v>
      </c>
      <c r="H55" s="202"/>
    </row>
    <row r="56" spans="2:8" ht="15.75" customHeight="1" x14ac:dyDescent="0.25">
      <c r="B56" s="393" t="s">
        <v>76</v>
      </c>
      <c r="C56" s="394"/>
      <c r="D56" s="394"/>
      <c r="E56" s="394"/>
      <c r="F56" s="394">
        <v>0.52</v>
      </c>
      <c r="G56" s="395">
        <f t="shared" si="0"/>
        <v>0.52</v>
      </c>
      <c r="H56" s="202"/>
    </row>
    <row r="57" spans="2:8" ht="15.75" customHeight="1" x14ac:dyDescent="0.25">
      <c r="B57" s="393" t="s">
        <v>77</v>
      </c>
      <c r="C57" s="394"/>
      <c r="D57" s="394">
        <v>83.268999999999977</v>
      </c>
      <c r="E57" s="394"/>
      <c r="F57" s="394">
        <v>316.23899999999998</v>
      </c>
      <c r="G57" s="395">
        <f t="shared" si="0"/>
        <v>399.50799999999992</v>
      </c>
      <c r="H57" s="202"/>
    </row>
    <row r="58" spans="2:8" ht="15.75" customHeight="1" x14ac:dyDescent="0.25">
      <c r="B58" s="393" t="s">
        <v>78</v>
      </c>
      <c r="C58" s="394">
        <v>529.24300000000005</v>
      </c>
      <c r="D58" s="394"/>
      <c r="E58" s="394"/>
      <c r="F58" s="394">
        <v>318.06</v>
      </c>
      <c r="G58" s="395">
        <f t="shared" si="0"/>
        <v>847.30300000000011</v>
      </c>
      <c r="H58" s="202"/>
    </row>
    <row r="59" spans="2:8" ht="15.75" customHeight="1" x14ac:dyDescent="0.25">
      <c r="B59" s="393" t="s">
        <v>79</v>
      </c>
      <c r="C59" s="394"/>
      <c r="D59" s="394"/>
      <c r="E59" s="394"/>
      <c r="F59" s="394">
        <v>3.1829999999999994</v>
      </c>
      <c r="G59" s="395">
        <f t="shared" si="0"/>
        <v>3.1829999999999994</v>
      </c>
      <c r="H59" s="202"/>
    </row>
    <row r="60" spans="2:8" ht="15.75" customHeight="1" x14ac:dyDescent="0.25">
      <c r="B60" s="393" t="s">
        <v>612</v>
      </c>
      <c r="C60" s="394"/>
      <c r="D60" s="394">
        <v>9.0040000000000013</v>
      </c>
      <c r="E60" s="394">
        <v>308.68</v>
      </c>
      <c r="F60" s="394">
        <v>1585.0840000000005</v>
      </c>
      <c r="G60" s="395">
        <f t="shared" si="0"/>
        <v>1902.7680000000005</v>
      </c>
      <c r="H60" s="202"/>
    </row>
    <row r="61" spans="2:8" ht="15.75" customHeight="1" x14ac:dyDescent="0.25">
      <c r="B61" s="393" t="s">
        <v>80</v>
      </c>
      <c r="C61" s="394"/>
      <c r="D61" s="394"/>
      <c r="E61" s="394">
        <v>328.37100000000009</v>
      </c>
      <c r="F61" s="394">
        <v>115.53800000000001</v>
      </c>
      <c r="G61" s="395">
        <f t="shared" si="0"/>
        <v>443.90900000000011</v>
      </c>
      <c r="H61" s="202"/>
    </row>
    <row r="62" spans="2:8" ht="15.75" customHeight="1" x14ac:dyDescent="0.25">
      <c r="B62" s="393" t="s">
        <v>244</v>
      </c>
      <c r="C62" s="394"/>
      <c r="D62" s="394">
        <v>83.870000000000019</v>
      </c>
      <c r="E62" s="394"/>
      <c r="F62" s="394">
        <v>113.44099999999997</v>
      </c>
      <c r="G62" s="395">
        <f t="shared" si="0"/>
        <v>197.31099999999998</v>
      </c>
      <c r="H62" s="202"/>
    </row>
    <row r="63" spans="2:8" ht="15.75" customHeight="1" x14ac:dyDescent="0.25">
      <c r="B63" s="286" t="s">
        <v>45</v>
      </c>
      <c r="C63" s="396">
        <f>+SUM(C41:C62)</f>
        <v>2087.37</v>
      </c>
      <c r="D63" s="396">
        <f t="shared" ref="D63:E63" si="1">+SUM(D41:D62)</f>
        <v>1310.479</v>
      </c>
      <c r="E63" s="396">
        <f t="shared" si="1"/>
        <v>668.38300000000004</v>
      </c>
      <c r="F63" s="396">
        <f>+SUM(F41:F62)</f>
        <v>4657.4839999999995</v>
      </c>
      <c r="G63" s="396">
        <f>SUM(G41:G62)</f>
        <v>8723.7160000000003</v>
      </c>
    </row>
    <row r="64" spans="2:8" ht="15.75" customHeight="1" x14ac:dyDescent="0.25">
      <c r="B64" s="13" t="s">
        <v>53</v>
      </c>
      <c r="C64" s="31"/>
      <c r="D64" s="31"/>
      <c r="E64" s="31"/>
      <c r="F64" s="31"/>
      <c r="G64" s="31"/>
    </row>
    <row r="70" spans="2:8" ht="15.75" customHeight="1" x14ac:dyDescent="0.25">
      <c r="B70" s="19" t="s">
        <v>768</v>
      </c>
      <c r="C70" s="44"/>
      <c r="D70" s="44"/>
      <c r="E70" s="44"/>
      <c r="F70" s="44"/>
    </row>
    <row r="71" spans="2:8" ht="15.75" customHeight="1" x14ac:dyDescent="0.25">
      <c r="B71" s="302" t="s">
        <v>44</v>
      </c>
      <c r="C71" s="303" t="s">
        <v>245</v>
      </c>
      <c r="D71" s="304"/>
      <c r="E71" s="305"/>
      <c r="F71" s="302" t="s">
        <v>45</v>
      </c>
    </row>
    <row r="72" spans="2:8" ht="15.75" customHeight="1" x14ac:dyDescent="0.25">
      <c r="B72" s="306"/>
      <c r="C72" s="281" t="s">
        <v>246</v>
      </c>
      <c r="D72" s="281" t="s">
        <v>247</v>
      </c>
      <c r="E72" s="281" t="s">
        <v>248</v>
      </c>
      <c r="F72" s="306"/>
    </row>
    <row r="73" spans="2:8" ht="15.75" customHeight="1" x14ac:dyDescent="0.25">
      <c r="B73" s="20" t="s">
        <v>66</v>
      </c>
      <c r="C73" s="296">
        <v>87.340000000000018</v>
      </c>
      <c r="D73" s="296"/>
      <c r="E73" s="296"/>
      <c r="F73" s="204">
        <f>SUM(C73:E73)</f>
        <v>87.340000000000018</v>
      </c>
      <c r="G73" s="203"/>
      <c r="H73" s="203"/>
    </row>
    <row r="74" spans="2:8" ht="15.75" customHeight="1" x14ac:dyDescent="0.25">
      <c r="B74" s="20" t="s">
        <v>611</v>
      </c>
      <c r="C74" s="296">
        <v>200.49899999999997</v>
      </c>
      <c r="D74" s="296"/>
      <c r="E74" s="296"/>
      <c r="F74" s="204">
        <f t="shared" ref="F74:F94" si="2">SUM(C74:E74)</f>
        <v>200.49899999999997</v>
      </c>
      <c r="G74" s="203"/>
      <c r="H74" s="203"/>
    </row>
    <row r="75" spans="2:8" ht="15.75" customHeight="1" x14ac:dyDescent="0.25">
      <c r="B75" s="20" t="s">
        <v>68</v>
      </c>
      <c r="C75" s="296">
        <v>566.55399999999997</v>
      </c>
      <c r="D75" s="296"/>
      <c r="E75" s="296"/>
      <c r="F75" s="204">
        <f t="shared" si="2"/>
        <v>566.55399999999997</v>
      </c>
      <c r="G75" s="203"/>
      <c r="H75" s="203"/>
    </row>
    <row r="76" spans="2:8" ht="15.75" customHeight="1" x14ac:dyDescent="0.25">
      <c r="B76" s="20" t="s">
        <v>58</v>
      </c>
      <c r="C76" s="296">
        <v>72.671999999999997</v>
      </c>
      <c r="D76" s="296"/>
      <c r="E76" s="296"/>
      <c r="F76" s="204">
        <f t="shared" si="2"/>
        <v>72.671999999999997</v>
      </c>
      <c r="G76" s="203"/>
      <c r="H76" s="203"/>
    </row>
    <row r="77" spans="2:8" ht="15.75" customHeight="1" x14ac:dyDescent="0.25">
      <c r="B77" s="20" t="s">
        <v>69</v>
      </c>
      <c r="C77" s="296">
        <v>316.96499999999997</v>
      </c>
      <c r="D77" s="296"/>
      <c r="E77" s="296"/>
      <c r="F77" s="204">
        <f t="shared" si="2"/>
        <v>316.96499999999997</v>
      </c>
      <c r="G77" s="203"/>
      <c r="H77" s="203"/>
    </row>
    <row r="78" spans="2:8" ht="15.75" customHeight="1" x14ac:dyDescent="0.25">
      <c r="B78" s="20" t="s">
        <v>59</v>
      </c>
      <c r="C78" s="296">
        <v>268.15699999999993</v>
      </c>
      <c r="D78" s="296"/>
      <c r="E78" s="296"/>
      <c r="F78" s="204">
        <f t="shared" si="2"/>
        <v>268.15699999999993</v>
      </c>
      <c r="G78" s="203"/>
      <c r="H78" s="203"/>
    </row>
    <row r="79" spans="2:8" ht="15.75" customHeight="1" x14ac:dyDescent="0.25">
      <c r="B79" s="20" t="s">
        <v>60</v>
      </c>
      <c r="C79" s="296">
        <v>1517.6200000000001</v>
      </c>
      <c r="D79" s="296"/>
      <c r="E79" s="296"/>
      <c r="F79" s="204">
        <f t="shared" si="2"/>
        <v>1517.6200000000001</v>
      </c>
      <c r="G79" s="203"/>
      <c r="H79" s="203"/>
    </row>
    <row r="80" spans="2:8" ht="15.75" customHeight="1" x14ac:dyDescent="0.25">
      <c r="B80" s="20" t="s">
        <v>70</v>
      </c>
      <c r="C80" s="296">
        <v>6.9610000000000003</v>
      </c>
      <c r="D80" s="296"/>
      <c r="E80" s="296"/>
      <c r="F80" s="204">
        <f t="shared" si="2"/>
        <v>6.9610000000000003</v>
      </c>
      <c r="G80" s="203"/>
      <c r="H80" s="203"/>
    </row>
    <row r="81" spans="2:8" ht="15.75" customHeight="1" x14ac:dyDescent="0.25">
      <c r="B81" s="20" t="s">
        <v>71</v>
      </c>
      <c r="C81" s="296">
        <v>896.19799999999987</v>
      </c>
      <c r="D81" s="296"/>
      <c r="E81" s="296"/>
      <c r="F81" s="204">
        <f t="shared" si="2"/>
        <v>896.19799999999987</v>
      </c>
      <c r="G81" s="203"/>
      <c r="H81" s="203"/>
    </row>
    <row r="82" spans="2:8" ht="15.75" customHeight="1" x14ac:dyDescent="0.25">
      <c r="B82" s="20" t="s">
        <v>72</v>
      </c>
      <c r="C82" s="296">
        <v>87.790999999999997</v>
      </c>
      <c r="D82" s="296"/>
      <c r="E82" s="296"/>
      <c r="F82" s="204">
        <f t="shared" si="2"/>
        <v>87.790999999999997</v>
      </c>
      <c r="G82" s="203"/>
      <c r="H82" s="203"/>
    </row>
    <row r="83" spans="2:8" ht="15.75" customHeight="1" x14ac:dyDescent="0.25">
      <c r="B83" s="20" t="s">
        <v>73</v>
      </c>
      <c r="C83" s="296">
        <v>230.97800000000004</v>
      </c>
      <c r="D83" s="296"/>
      <c r="E83" s="296"/>
      <c r="F83" s="204">
        <f t="shared" si="2"/>
        <v>230.97800000000004</v>
      </c>
      <c r="G83" s="203"/>
      <c r="H83" s="203"/>
    </row>
    <row r="84" spans="2:8" ht="15.75" customHeight="1" x14ac:dyDescent="0.25">
      <c r="B84" s="20" t="s">
        <v>74</v>
      </c>
      <c r="C84" s="296">
        <v>223.56900000000002</v>
      </c>
      <c r="D84" s="296"/>
      <c r="E84" s="296"/>
      <c r="F84" s="204">
        <f t="shared" si="2"/>
        <v>223.56900000000002</v>
      </c>
      <c r="G84" s="203"/>
      <c r="H84" s="203"/>
    </row>
    <row r="85" spans="2:8" ht="15.75" customHeight="1" x14ac:dyDescent="0.25">
      <c r="B85" s="20" t="s">
        <v>75</v>
      </c>
      <c r="C85" s="296">
        <v>40.03</v>
      </c>
      <c r="D85" s="296"/>
      <c r="E85" s="296"/>
      <c r="F85" s="204">
        <f t="shared" si="2"/>
        <v>40.03</v>
      </c>
      <c r="G85" s="203"/>
      <c r="H85" s="203"/>
    </row>
    <row r="86" spans="2:8" ht="15.75" customHeight="1" x14ac:dyDescent="0.25">
      <c r="B86" s="20" t="s">
        <v>61</v>
      </c>
      <c r="C86" s="296">
        <v>8</v>
      </c>
      <c r="D86" s="296">
        <v>59.33</v>
      </c>
      <c r="E86" s="296"/>
      <c r="F86" s="204">
        <f t="shared" si="2"/>
        <v>67.33</v>
      </c>
      <c r="G86" s="203"/>
      <c r="H86" s="203"/>
    </row>
    <row r="87" spans="2:8" ht="15.75" customHeight="1" x14ac:dyDescent="0.25">
      <c r="B87" s="20" t="s">
        <v>50</v>
      </c>
      <c r="C87" s="296">
        <v>312.28800000000001</v>
      </c>
      <c r="D87" s="296">
        <v>34.274999999999999</v>
      </c>
      <c r="E87" s="296"/>
      <c r="F87" s="204">
        <f t="shared" si="2"/>
        <v>346.56299999999999</v>
      </c>
      <c r="G87" s="203"/>
      <c r="H87" s="203"/>
    </row>
    <row r="88" spans="2:8" ht="15.75" customHeight="1" x14ac:dyDescent="0.25">
      <c r="B88" s="20" t="s">
        <v>76</v>
      </c>
      <c r="C88" s="296">
        <v>0.52</v>
      </c>
      <c r="D88" s="296"/>
      <c r="E88" s="296"/>
      <c r="F88" s="204">
        <f t="shared" si="2"/>
        <v>0.52</v>
      </c>
      <c r="G88" s="203"/>
      <c r="H88" s="203"/>
    </row>
    <row r="89" spans="2:8" ht="15.75" customHeight="1" x14ac:dyDescent="0.25">
      <c r="B89" s="20" t="s">
        <v>77</v>
      </c>
      <c r="C89" s="296">
        <v>399.50799999999987</v>
      </c>
      <c r="D89" s="296"/>
      <c r="E89" s="296"/>
      <c r="F89" s="204">
        <f t="shared" si="2"/>
        <v>399.50799999999987</v>
      </c>
      <c r="G89" s="203"/>
      <c r="H89" s="203"/>
    </row>
    <row r="90" spans="2:8" ht="15.75" customHeight="1" x14ac:dyDescent="0.25">
      <c r="B90" s="20" t="s">
        <v>78</v>
      </c>
      <c r="C90" s="296">
        <v>847.303</v>
      </c>
      <c r="D90" s="296"/>
      <c r="E90" s="296"/>
      <c r="F90" s="204">
        <f t="shared" si="2"/>
        <v>847.303</v>
      </c>
      <c r="G90" s="203"/>
      <c r="H90" s="203"/>
    </row>
    <row r="91" spans="2:8" ht="15.75" customHeight="1" x14ac:dyDescent="0.25">
      <c r="B91" s="20" t="s">
        <v>79</v>
      </c>
      <c r="C91" s="296">
        <v>0.33599999999999997</v>
      </c>
      <c r="D91" s="296">
        <v>2.847</v>
      </c>
      <c r="E91" s="296"/>
      <c r="F91" s="204">
        <f t="shared" si="2"/>
        <v>3.1829999999999998</v>
      </c>
      <c r="G91" s="203"/>
      <c r="H91" s="203"/>
    </row>
    <row r="92" spans="2:8" ht="15.75" customHeight="1" x14ac:dyDescent="0.25">
      <c r="B92" s="20" t="s">
        <v>612</v>
      </c>
      <c r="C92" s="297">
        <v>1796.8530000000017</v>
      </c>
      <c r="D92" s="297">
        <v>105.92100000000002</v>
      </c>
      <c r="E92" s="297"/>
      <c r="F92" s="204">
        <f t="shared" si="2"/>
        <v>1902.7740000000017</v>
      </c>
      <c r="G92" s="203"/>
      <c r="H92" s="203"/>
    </row>
    <row r="93" spans="2:8" ht="15.75" customHeight="1" x14ac:dyDescent="0.25">
      <c r="B93" s="33" t="s">
        <v>80</v>
      </c>
      <c r="C93" s="297">
        <v>443.90899999999999</v>
      </c>
      <c r="D93" s="297"/>
      <c r="E93" s="297"/>
      <c r="F93" s="204">
        <f t="shared" si="2"/>
        <v>443.90899999999999</v>
      </c>
      <c r="G93" s="203"/>
      <c r="H93" s="203"/>
    </row>
    <row r="94" spans="2:8" ht="15.75" customHeight="1" thickBot="1" x14ac:dyDescent="0.3">
      <c r="B94" s="21" t="s">
        <v>244</v>
      </c>
      <c r="C94" s="298">
        <v>143.31200000000004</v>
      </c>
      <c r="D94" s="298"/>
      <c r="E94" s="298">
        <v>53.99</v>
      </c>
      <c r="F94" s="204">
        <f t="shared" si="2"/>
        <v>197.30200000000005</v>
      </c>
      <c r="G94" s="203"/>
      <c r="H94" s="203"/>
    </row>
    <row r="95" spans="2:8" ht="15.75" customHeight="1" thickTop="1" x14ac:dyDescent="0.25">
      <c r="B95" s="239" t="s">
        <v>45</v>
      </c>
      <c r="C95" s="240">
        <f>SUM(C73:C94)</f>
        <v>8467.3630000000012</v>
      </c>
      <c r="D95" s="240">
        <f>SUM(D73:D94)</f>
        <v>202.37299999999999</v>
      </c>
      <c r="E95" s="240">
        <f>SUM(E73:E94)</f>
        <v>53.99</v>
      </c>
      <c r="F95" s="240">
        <f>SUM(F73:F94)</f>
        <v>8723.7260000000006</v>
      </c>
    </row>
    <row r="96" spans="2:8" ht="15.75" customHeight="1" x14ac:dyDescent="0.25">
      <c r="B96" s="13" t="s">
        <v>53</v>
      </c>
      <c r="C96" s="31"/>
      <c r="D96" s="31"/>
      <c r="E96" s="31"/>
      <c r="F96" s="31"/>
    </row>
  </sheetData>
  <mergeCells count="6">
    <mergeCell ref="B39:B40"/>
    <mergeCell ref="C39:F39"/>
    <mergeCell ref="G39:G40"/>
    <mergeCell ref="B71:B72"/>
    <mergeCell ref="C71:E71"/>
    <mergeCell ref="F71:F72"/>
  </mergeCells>
  <hyperlinks>
    <hyperlink ref="A1" location="INDICE!A1" display="(Ir al Índice)" xr:uid="{E06F90C9-A995-483A-9FBF-A34F9DBB5633}"/>
  </hyperlinks>
  <pageMargins left="0.7" right="0.7" top="0.75" bottom="0.7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</sheetPr>
  <dimension ref="A1:C12"/>
  <sheetViews>
    <sheetView showGridLines="0" workbookViewId="0">
      <selection activeCell="F15" sqref="F15"/>
    </sheetView>
  </sheetViews>
  <sheetFormatPr baseColWidth="10" defaultColWidth="14.42578125" defaultRowHeight="15" customHeight="1" x14ac:dyDescent="0.25"/>
  <cols>
    <col min="1" max="1" width="4.28515625" customWidth="1"/>
    <col min="2" max="2" width="68.140625" customWidth="1"/>
    <col min="3" max="3" width="14" customWidth="1"/>
    <col min="4" max="26" width="11.5703125" customWidth="1"/>
  </cols>
  <sheetData>
    <row r="1" spans="1:3" x14ac:dyDescent="0.25">
      <c r="A1" s="78" t="s">
        <v>43</v>
      </c>
      <c r="B1" s="31"/>
      <c r="C1" s="31"/>
    </row>
    <row r="2" spans="1:3" x14ac:dyDescent="0.25">
      <c r="B2" s="31"/>
      <c r="C2" s="31"/>
    </row>
    <row r="3" spans="1:3" x14ac:dyDescent="0.25">
      <c r="B3" s="4" t="s">
        <v>16</v>
      </c>
      <c r="C3" s="45"/>
    </row>
    <row r="4" spans="1:3" x14ac:dyDescent="0.25">
      <c r="B4" s="45"/>
      <c r="C4" s="45"/>
    </row>
    <row r="5" spans="1:3" x14ac:dyDescent="0.25">
      <c r="B5" s="19" t="s">
        <v>2366</v>
      </c>
      <c r="C5" s="46"/>
    </row>
    <row r="6" spans="1:3" ht="28.5" customHeight="1" x14ac:dyDescent="0.25">
      <c r="B6" s="283" t="s">
        <v>249</v>
      </c>
      <c r="C6" s="283" t="s">
        <v>250</v>
      </c>
    </row>
    <row r="7" spans="1:3" x14ac:dyDescent="0.25">
      <c r="A7" s="31"/>
      <c r="B7" s="397" t="s">
        <v>769</v>
      </c>
      <c r="C7" s="311">
        <v>4</v>
      </c>
    </row>
    <row r="8" spans="1:3" x14ac:dyDescent="0.25">
      <c r="A8" s="31"/>
      <c r="B8" s="397" t="s">
        <v>770</v>
      </c>
      <c r="C8" s="311">
        <v>4</v>
      </c>
    </row>
    <row r="9" spans="1:3" x14ac:dyDescent="0.25">
      <c r="A9" s="31"/>
      <c r="B9" s="397" t="s">
        <v>771</v>
      </c>
      <c r="C9" s="311">
        <v>1</v>
      </c>
    </row>
    <row r="10" spans="1:3" x14ac:dyDescent="0.25">
      <c r="A10" s="31"/>
      <c r="B10" s="397" t="s">
        <v>772</v>
      </c>
      <c r="C10" s="311">
        <v>1</v>
      </c>
    </row>
    <row r="11" spans="1:3" x14ac:dyDescent="0.25">
      <c r="A11" s="31"/>
      <c r="B11" s="286" t="s">
        <v>45</v>
      </c>
      <c r="C11" s="344">
        <f>SUM(C7:C10)</f>
        <v>10</v>
      </c>
    </row>
    <row r="12" spans="1:3" x14ac:dyDescent="0.25">
      <c r="B12" s="18" t="s">
        <v>251</v>
      </c>
      <c r="C12" s="31"/>
    </row>
  </sheetData>
  <hyperlinks>
    <hyperlink ref="A1" location="INDICE!A1" display="(Ir al Índice)" xr:uid="{4F64B0F1-297F-4519-9CB4-AB9EA82B08E3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12"/>
  <sheetViews>
    <sheetView showGridLines="0" workbookViewId="0">
      <selection activeCell="M29" sqref="M29"/>
    </sheetView>
  </sheetViews>
  <sheetFormatPr baseColWidth="10" defaultColWidth="14.42578125" defaultRowHeight="15" customHeight="1" x14ac:dyDescent="0.25"/>
  <cols>
    <col min="1" max="1" width="4.28515625" customWidth="1"/>
    <col min="2" max="2" width="30.28515625" customWidth="1"/>
    <col min="3" max="3" width="36" customWidth="1"/>
    <col min="4" max="26" width="11.5703125" customWidth="1"/>
  </cols>
  <sheetData>
    <row r="1" spans="1:3" x14ac:dyDescent="0.25">
      <c r="A1" s="78" t="s">
        <v>43</v>
      </c>
      <c r="B1" s="31"/>
      <c r="C1" s="31"/>
    </row>
    <row r="2" spans="1:3" x14ac:dyDescent="0.25">
      <c r="B2" s="31"/>
      <c r="C2" s="31"/>
    </row>
    <row r="3" spans="1:3" x14ac:dyDescent="0.25">
      <c r="B3" s="4" t="s">
        <v>17</v>
      </c>
      <c r="C3" s="31"/>
    </row>
    <row r="4" spans="1:3" x14ac:dyDescent="0.25">
      <c r="B4" s="31"/>
      <c r="C4" s="31"/>
    </row>
    <row r="5" spans="1:3" x14ac:dyDescent="0.25">
      <c r="B5" s="19" t="s">
        <v>773</v>
      </c>
      <c r="C5" s="31"/>
    </row>
    <row r="6" spans="1:3" x14ac:dyDescent="0.25">
      <c r="B6" s="283" t="s">
        <v>252</v>
      </c>
      <c r="C6" s="283" t="s">
        <v>566</v>
      </c>
    </row>
    <row r="7" spans="1:3" x14ac:dyDescent="0.25">
      <c r="A7" s="31"/>
      <c r="B7" s="397" t="s">
        <v>253</v>
      </c>
      <c r="C7" s="399">
        <v>1570</v>
      </c>
    </row>
    <row r="8" spans="1:3" x14ac:dyDescent="0.25">
      <c r="A8" s="31"/>
      <c r="B8" s="397" t="s">
        <v>254</v>
      </c>
      <c r="C8" s="399">
        <v>2126</v>
      </c>
    </row>
    <row r="9" spans="1:3" x14ac:dyDescent="0.25">
      <c r="A9" s="31"/>
      <c r="B9" s="397" t="s">
        <v>255</v>
      </c>
      <c r="C9" s="399">
        <v>39</v>
      </c>
    </row>
    <row r="10" spans="1:3" x14ac:dyDescent="0.25">
      <c r="A10" s="31"/>
      <c r="B10" s="397" t="s">
        <v>256</v>
      </c>
      <c r="C10" s="399">
        <v>205</v>
      </c>
    </row>
    <row r="11" spans="1:3" x14ac:dyDescent="0.25">
      <c r="A11" s="31"/>
      <c r="B11" s="286" t="s">
        <v>45</v>
      </c>
      <c r="C11" s="400">
        <f>SUM(C7:C10)</f>
        <v>3940</v>
      </c>
    </row>
    <row r="12" spans="1:3" x14ac:dyDescent="0.25">
      <c r="A12" s="31"/>
      <c r="B12" s="398" t="s">
        <v>257</v>
      </c>
      <c r="C12" s="398"/>
    </row>
  </sheetData>
  <hyperlinks>
    <hyperlink ref="A1" location="INDICE!A1" display="(Ir al Índice)" xr:uid="{A17F25D5-1224-4DA3-8727-3105780B8C58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A1:E20"/>
  <sheetViews>
    <sheetView showGridLines="0" zoomScale="83" workbookViewId="0"/>
  </sheetViews>
  <sheetFormatPr baseColWidth="10" defaultColWidth="14.42578125" defaultRowHeight="15" customHeight="1" x14ac:dyDescent="0.25"/>
  <cols>
    <col min="1" max="1" width="4.28515625" customWidth="1"/>
    <col min="2" max="2" width="15.42578125" customWidth="1"/>
    <col min="3" max="3" width="16.7109375" customWidth="1"/>
    <col min="4" max="4" width="15.85546875" customWidth="1"/>
    <col min="5" max="5" width="14.42578125" customWidth="1"/>
    <col min="6" max="27" width="11.42578125" customWidth="1"/>
  </cols>
  <sheetData>
    <row r="1" spans="1:5" x14ac:dyDescent="0.25">
      <c r="A1" s="78" t="s">
        <v>43</v>
      </c>
      <c r="B1" s="36"/>
      <c r="C1" s="36"/>
      <c r="D1" s="36"/>
      <c r="E1" s="36"/>
    </row>
    <row r="2" spans="1:5" x14ac:dyDescent="0.25">
      <c r="B2" s="42"/>
      <c r="C2" s="42"/>
      <c r="D2" s="42"/>
      <c r="E2" s="42"/>
    </row>
    <row r="3" spans="1:5" x14ac:dyDescent="0.25">
      <c r="B3" s="4" t="s">
        <v>18</v>
      </c>
      <c r="C3" s="42"/>
      <c r="D3" s="42"/>
      <c r="E3" s="42"/>
    </row>
    <row r="4" spans="1:5" x14ac:dyDescent="0.25">
      <c r="B4" s="42"/>
      <c r="C4" s="42"/>
      <c r="D4" s="42"/>
      <c r="E4" s="42"/>
    </row>
    <row r="5" spans="1:5" x14ac:dyDescent="0.25">
      <c r="B5" s="19" t="s">
        <v>775</v>
      </c>
      <c r="C5" s="31"/>
      <c r="D5" s="31"/>
      <c r="E5" s="31"/>
    </row>
    <row r="6" spans="1:5" ht="24" x14ac:dyDescent="0.25">
      <c r="B6" s="283" t="s">
        <v>44</v>
      </c>
      <c r="C6" s="284" t="s">
        <v>258</v>
      </c>
      <c r="D6" s="284" t="s">
        <v>259</v>
      </c>
      <c r="E6" s="283" t="s">
        <v>45</v>
      </c>
    </row>
    <row r="7" spans="1:5" x14ac:dyDescent="0.25">
      <c r="A7" s="31"/>
      <c r="B7" s="285" t="s">
        <v>58</v>
      </c>
      <c r="C7" s="293"/>
      <c r="D7" s="293">
        <v>2</v>
      </c>
      <c r="E7" s="293">
        <v>2</v>
      </c>
    </row>
    <row r="8" spans="1:5" x14ac:dyDescent="0.25">
      <c r="A8" s="31"/>
      <c r="B8" s="285" t="s">
        <v>59</v>
      </c>
      <c r="C8" s="293"/>
      <c r="D8" s="293">
        <v>1</v>
      </c>
      <c r="E8" s="293">
        <v>1</v>
      </c>
    </row>
    <row r="9" spans="1:5" x14ac:dyDescent="0.25">
      <c r="A9" s="31"/>
      <c r="B9" s="285" t="s">
        <v>60</v>
      </c>
      <c r="C9" s="293"/>
      <c r="D9" s="293">
        <v>3</v>
      </c>
      <c r="E9" s="293">
        <v>3</v>
      </c>
    </row>
    <row r="10" spans="1:5" x14ac:dyDescent="0.25">
      <c r="A10" s="31"/>
      <c r="B10" s="285" t="s">
        <v>70</v>
      </c>
      <c r="C10" s="293"/>
      <c r="D10" s="293">
        <v>4</v>
      </c>
      <c r="E10" s="293">
        <v>4</v>
      </c>
    </row>
    <row r="11" spans="1:5" x14ac:dyDescent="0.25">
      <c r="A11" s="31"/>
      <c r="B11" s="285" t="s">
        <v>71</v>
      </c>
      <c r="C11" s="293"/>
      <c r="D11" s="293">
        <v>1</v>
      </c>
      <c r="E11" s="293">
        <v>1</v>
      </c>
    </row>
    <row r="12" spans="1:5" x14ac:dyDescent="0.25">
      <c r="A12" s="31"/>
      <c r="B12" s="285" t="s">
        <v>73</v>
      </c>
      <c r="C12" s="293"/>
      <c r="D12" s="293">
        <v>7</v>
      </c>
      <c r="E12" s="293">
        <v>7</v>
      </c>
    </row>
    <row r="13" spans="1:5" x14ac:dyDescent="0.25">
      <c r="A13" s="31"/>
      <c r="B13" s="285" t="s">
        <v>61</v>
      </c>
      <c r="C13" s="293">
        <v>1</v>
      </c>
      <c r="D13" s="293"/>
      <c r="E13" s="293">
        <v>1</v>
      </c>
    </row>
    <row r="14" spans="1:5" x14ac:dyDescent="0.25">
      <c r="A14" s="31"/>
      <c r="B14" s="285" t="s">
        <v>774</v>
      </c>
      <c r="C14" s="293">
        <v>4</v>
      </c>
      <c r="D14" s="293">
        <v>11</v>
      </c>
      <c r="E14" s="293">
        <v>15</v>
      </c>
    </row>
    <row r="15" spans="1:5" x14ac:dyDescent="0.25">
      <c r="A15" s="31"/>
      <c r="B15" s="286" t="s">
        <v>45</v>
      </c>
      <c r="C15" s="344">
        <f>SUM(C7:C14)</f>
        <v>5</v>
      </c>
      <c r="D15" s="344">
        <f t="shared" ref="D15:E15" si="0">SUM(D7:D14)</f>
        <v>29</v>
      </c>
      <c r="E15" s="344">
        <f t="shared" si="0"/>
        <v>34</v>
      </c>
    </row>
    <row r="16" spans="1:5" x14ac:dyDescent="0.25">
      <c r="A16" s="31"/>
      <c r="B16" s="13" t="s">
        <v>53</v>
      </c>
      <c r="C16" s="31"/>
      <c r="D16" s="31"/>
      <c r="E16" s="31"/>
    </row>
    <row r="19" spans="2:2" x14ac:dyDescent="0.25">
      <c r="B19" s="15" t="s">
        <v>236</v>
      </c>
    </row>
    <row r="20" spans="2:2" x14ac:dyDescent="0.25">
      <c r="B20" s="75" t="s">
        <v>559</v>
      </c>
    </row>
  </sheetData>
  <hyperlinks>
    <hyperlink ref="A1" location="INDICE!A1" display="(Ir al Índice)" xr:uid="{8A68EBF9-0B01-47EA-8212-854C8A165329}"/>
  </hyperlink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1A46-BE42-48CD-9809-7492152D6B3E}">
  <sheetPr>
    <tabColor theme="9" tint="0.59999389629810485"/>
  </sheetPr>
  <dimension ref="A1:AA947"/>
  <sheetViews>
    <sheetView showGridLines="0" zoomScale="82" zoomScaleNormal="40" workbookViewId="0"/>
  </sheetViews>
  <sheetFormatPr baseColWidth="10" defaultColWidth="11.42578125" defaultRowHeight="15" x14ac:dyDescent="0.25"/>
  <cols>
    <col min="1" max="1" width="4.28515625" style="103" customWidth="1"/>
    <col min="2" max="2" width="26" style="118" customWidth="1"/>
    <col min="3" max="3" width="32.7109375" style="118" customWidth="1"/>
    <col min="4" max="4" width="16" style="118" customWidth="1"/>
    <col min="5" max="6" width="11.42578125" style="118"/>
    <col min="7" max="7" width="15.140625" style="118" bestFit="1" customWidth="1"/>
    <col min="8" max="9" width="13.5703125" style="115" customWidth="1"/>
    <col min="10" max="16384" width="11.42578125" style="118"/>
  </cols>
  <sheetData>
    <row r="1" spans="1:23" s="95" customFormat="1" x14ac:dyDescent="0.25">
      <c r="A1" s="78" t="s">
        <v>43</v>
      </c>
      <c r="B1" s="94"/>
      <c r="H1" s="83"/>
      <c r="I1" s="83"/>
    </row>
    <row r="2" spans="1:23" s="95" customFormat="1" x14ac:dyDescent="0.25">
      <c r="A2" s="93"/>
      <c r="B2" s="94"/>
      <c r="H2" s="83"/>
      <c r="I2" s="83"/>
    </row>
    <row r="3" spans="1:23" s="98" customFormat="1" ht="15.75" x14ac:dyDescent="0.25">
      <c r="A3" s="96" t="s">
        <v>19</v>
      </c>
      <c r="B3" s="97"/>
      <c r="C3" s="97"/>
      <c r="H3" s="99"/>
      <c r="I3" s="99"/>
    </row>
    <row r="4" spans="1:23" s="98" customFormat="1" x14ac:dyDescent="0.25">
      <c r="A4" s="100"/>
      <c r="B4" s="97"/>
      <c r="C4" s="97"/>
      <c r="H4" s="99"/>
      <c r="I4" s="99"/>
    </row>
    <row r="5" spans="1:23" s="98" customFormat="1" x14ac:dyDescent="0.25">
      <c r="A5" s="101"/>
      <c r="B5" s="102" t="s">
        <v>20</v>
      </c>
      <c r="C5" s="101"/>
      <c r="H5" s="99"/>
      <c r="I5" s="99"/>
    </row>
    <row r="6" spans="1:23" s="98" customFormat="1" ht="10.5" customHeight="1" x14ac:dyDescent="0.25">
      <c r="A6" s="101"/>
      <c r="B6" s="102"/>
      <c r="C6" s="101"/>
      <c r="H6" s="99"/>
      <c r="I6" s="99"/>
    </row>
    <row r="7" spans="1:23" s="98" customFormat="1" x14ac:dyDescent="0.25">
      <c r="A7" s="101"/>
      <c r="B7" s="102" t="s">
        <v>21</v>
      </c>
      <c r="E7" s="98" t="s">
        <v>779</v>
      </c>
      <c r="H7" s="99"/>
      <c r="I7" s="99"/>
    </row>
    <row r="8" spans="1:23" s="98" customFormat="1" x14ac:dyDescent="0.25">
      <c r="A8" s="101"/>
      <c r="B8" s="102"/>
      <c r="G8" s="41"/>
      <c r="H8" s="30"/>
      <c r="I8" s="30"/>
    </row>
    <row r="9" spans="1:23" s="98" customFormat="1" x14ac:dyDescent="0.25">
      <c r="A9" s="103"/>
      <c r="B9" s="104" t="s">
        <v>780</v>
      </c>
      <c r="C9" s="104"/>
      <c r="F9" s="15"/>
      <c r="G9" s="41"/>
      <c r="H9" s="30"/>
      <c r="I9" s="30"/>
    </row>
    <row r="10" spans="1:23" s="95" customFormat="1" x14ac:dyDescent="0.25">
      <c r="A10" s="103"/>
      <c r="B10" s="402" t="s">
        <v>44</v>
      </c>
      <c r="C10" s="403" t="s">
        <v>260</v>
      </c>
      <c r="F10" s="22"/>
      <c r="S10" s="83" t="s">
        <v>44</v>
      </c>
      <c r="T10" s="83" t="s">
        <v>261</v>
      </c>
      <c r="U10" s="83" t="s">
        <v>262</v>
      </c>
    </row>
    <row r="11" spans="1:23" s="95" customFormat="1" x14ac:dyDescent="0.25">
      <c r="A11" s="103"/>
      <c r="B11" s="404" t="s">
        <v>688</v>
      </c>
      <c r="C11" s="405">
        <v>24.024000000000001</v>
      </c>
      <c r="S11" s="83" t="s">
        <v>244</v>
      </c>
      <c r="T11" s="84">
        <f>SUM($C$22)</f>
        <v>750417.15599999635</v>
      </c>
      <c r="U11" s="105"/>
    </row>
    <row r="12" spans="1:23" s="95" customFormat="1" ht="12" customHeight="1" x14ac:dyDescent="0.2">
      <c r="A12" s="106"/>
      <c r="B12" s="406" t="s">
        <v>691</v>
      </c>
      <c r="C12" s="405">
        <v>1.4670000000000001</v>
      </c>
      <c r="R12" s="207"/>
      <c r="S12" s="207"/>
      <c r="T12" s="207"/>
      <c r="U12" s="105"/>
    </row>
    <row r="13" spans="1:23" s="95" customFormat="1" ht="12" customHeight="1" x14ac:dyDescent="0.25">
      <c r="A13" s="106"/>
      <c r="B13" s="406" t="s">
        <v>693</v>
      </c>
      <c r="C13" s="405">
        <v>238.26000000000002</v>
      </c>
      <c r="R13" s="212"/>
      <c r="S13" s="210"/>
      <c r="T13" s="214"/>
      <c r="U13"/>
      <c r="W13" s="216"/>
    </row>
    <row r="14" spans="1:23" s="95" customFormat="1" ht="12" customHeight="1" x14ac:dyDescent="0.25">
      <c r="A14" s="106"/>
      <c r="B14" s="406" t="s">
        <v>695</v>
      </c>
      <c r="C14" s="405">
        <v>48.629999999999995</v>
      </c>
      <c r="R14" s="207"/>
      <c r="S14" s="208"/>
      <c r="T14" s="209"/>
      <c r="U14"/>
      <c r="W14" s="216"/>
    </row>
    <row r="15" spans="1:23" s="95" customFormat="1" ht="12" customHeight="1" x14ac:dyDescent="0.25">
      <c r="A15" s="106"/>
      <c r="B15" s="406" t="s">
        <v>697</v>
      </c>
      <c r="C15" s="405">
        <v>69293.147000000012</v>
      </c>
      <c r="R15" s="207"/>
      <c r="S15" s="208"/>
      <c r="T15" s="209"/>
      <c r="U15"/>
      <c r="W15" s="216"/>
    </row>
    <row r="16" spans="1:23" s="95" customFormat="1" ht="12" customHeight="1" x14ac:dyDescent="0.25">
      <c r="A16" s="106"/>
      <c r="B16" s="406" t="s">
        <v>699</v>
      </c>
      <c r="C16" s="405">
        <v>121088.89099999961</v>
      </c>
      <c r="R16" s="80"/>
      <c r="S16" s="210"/>
      <c r="T16" s="209"/>
      <c r="U16"/>
      <c r="W16" s="216"/>
    </row>
    <row r="17" spans="1:23" s="95" customFormat="1" ht="12" customHeight="1" x14ac:dyDescent="0.25">
      <c r="A17" s="106"/>
      <c r="B17" s="406" t="s">
        <v>700</v>
      </c>
      <c r="C17" s="405">
        <v>320.08999999999997</v>
      </c>
      <c r="R17" s="207"/>
      <c r="S17" s="208"/>
      <c r="T17" s="209"/>
      <c r="U17"/>
      <c r="W17" s="216"/>
    </row>
    <row r="18" spans="1:23" s="95" customFormat="1" ht="12" customHeight="1" x14ac:dyDescent="0.25">
      <c r="A18" s="106"/>
      <c r="B18" s="406" t="s">
        <v>703</v>
      </c>
      <c r="C18" s="407">
        <v>445370.03850000008</v>
      </c>
      <c r="G18" s="107"/>
      <c r="R18" s="207"/>
      <c r="S18" s="208"/>
      <c r="T18" s="209"/>
      <c r="U18"/>
      <c r="W18" s="216"/>
    </row>
    <row r="19" spans="1:23" s="95" customFormat="1" ht="12" customHeight="1" x14ac:dyDescent="0.25">
      <c r="A19" s="106"/>
      <c r="B19" s="406" t="s">
        <v>704</v>
      </c>
      <c r="C19" s="405">
        <v>168385.91299999991</v>
      </c>
      <c r="G19" s="107"/>
      <c r="R19" s="207"/>
      <c r="S19" s="208"/>
      <c r="T19" s="209"/>
      <c r="U19"/>
      <c r="W19" s="216"/>
    </row>
    <row r="20" spans="1:23" s="95" customFormat="1" ht="12" customHeight="1" x14ac:dyDescent="0.25">
      <c r="A20" s="106"/>
      <c r="B20" s="406" t="s">
        <v>706</v>
      </c>
      <c r="C20" s="405">
        <v>30857.302000000058</v>
      </c>
      <c r="G20" s="107"/>
      <c r="R20" s="207"/>
      <c r="S20" s="208"/>
      <c r="T20" s="209"/>
      <c r="U20"/>
      <c r="W20" s="216"/>
    </row>
    <row r="21" spans="1:23" s="95" customFormat="1" ht="12" customHeight="1" x14ac:dyDescent="0.25">
      <c r="A21" s="106"/>
      <c r="B21" s="406" t="s">
        <v>708</v>
      </c>
      <c r="C21" s="405">
        <v>16823.013000000014</v>
      </c>
      <c r="G21" s="107"/>
      <c r="R21" s="207"/>
      <c r="S21" s="211"/>
      <c r="T21" s="209"/>
      <c r="U21"/>
      <c r="W21" s="216"/>
    </row>
    <row r="22" spans="1:23" s="95" customFormat="1" ht="12" customHeight="1" x14ac:dyDescent="0.2">
      <c r="A22" s="106"/>
      <c r="B22" s="406" t="s">
        <v>710</v>
      </c>
      <c r="C22" s="405">
        <v>750417.15599999635</v>
      </c>
      <c r="R22" s="207"/>
      <c r="S22" s="208"/>
      <c r="T22" s="209"/>
      <c r="W22" s="216"/>
    </row>
    <row r="23" spans="1:23" s="94" customFormat="1" ht="15.75" customHeight="1" x14ac:dyDescent="0.25">
      <c r="A23" s="106"/>
      <c r="B23" s="408" t="s">
        <v>778</v>
      </c>
      <c r="C23" s="409">
        <v>1602867.931499996</v>
      </c>
      <c r="E23" s="108"/>
      <c r="F23" s="95"/>
      <c r="G23" s="95"/>
      <c r="J23" s="95"/>
      <c r="K23" s="95"/>
      <c r="L23" s="95"/>
      <c r="M23" s="95"/>
      <c r="N23" s="95"/>
      <c r="O23" s="95"/>
      <c r="P23" s="95"/>
      <c r="Q23" s="95"/>
      <c r="R23" s="207"/>
      <c r="S23" s="208"/>
      <c r="T23" s="209"/>
      <c r="U23"/>
      <c r="W23" s="216"/>
    </row>
    <row r="24" spans="1:23" s="95" customFormat="1" x14ac:dyDescent="0.25">
      <c r="A24" s="106"/>
      <c r="B24" s="109" t="s">
        <v>53</v>
      </c>
      <c r="C24" s="110"/>
      <c r="G24" s="108"/>
      <c r="R24" s="207"/>
      <c r="S24" s="208"/>
      <c r="T24" s="209"/>
      <c r="U24"/>
      <c r="W24" s="216"/>
    </row>
    <row r="25" spans="1:23" s="95" customFormat="1" ht="12" customHeight="1" x14ac:dyDescent="0.25">
      <c r="A25" s="106"/>
      <c r="B25" s="111" t="s">
        <v>81</v>
      </c>
      <c r="C25" s="112"/>
      <c r="J25" s="94"/>
      <c r="K25" s="94"/>
      <c r="L25" s="94"/>
      <c r="M25" s="94"/>
      <c r="N25" s="94"/>
      <c r="O25" s="94"/>
      <c r="P25" s="94"/>
      <c r="Q25" s="94"/>
      <c r="R25" s="213"/>
      <c r="S25" s="208"/>
      <c r="T25" s="215"/>
      <c r="U25"/>
      <c r="W25" s="216"/>
    </row>
    <row r="26" spans="1:23" s="95" customFormat="1" ht="15.75" customHeight="1" x14ac:dyDescent="0.25">
      <c r="A26" s="106"/>
      <c r="B26" s="113"/>
      <c r="C26" s="113"/>
      <c r="D26" s="113"/>
      <c r="U26"/>
    </row>
    <row r="27" spans="1:23" s="95" customFormat="1" x14ac:dyDescent="0.25">
      <c r="A27" s="106"/>
      <c r="B27" s="98"/>
      <c r="C27" s="98"/>
      <c r="D27" s="98"/>
      <c r="H27" s="83"/>
      <c r="I27" s="83"/>
      <c r="R27" s="83" t="s">
        <v>59</v>
      </c>
      <c r="S27" s="84">
        <v>310.22999999999996</v>
      </c>
      <c r="T27" s="85"/>
      <c r="U27"/>
    </row>
    <row r="28" spans="1:23" s="95" customFormat="1" x14ac:dyDescent="0.25">
      <c r="A28" s="106"/>
      <c r="H28" s="83"/>
      <c r="I28" s="83"/>
      <c r="R28" s="83" t="s">
        <v>58</v>
      </c>
      <c r="S28" s="84">
        <v>224.6035</v>
      </c>
      <c r="T28" s="89"/>
      <c r="U28"/>
    </row>
    <row r="29" spans="1:23" s="95" customFormat="1" ht="12" customHeight="1" x14ac:dyDescent="0.25">
      <c r="A29" s="106"/>
      <c r="C29" s="114"/>
      <c r="D29" s="108"/>
      <c r="H29" s="83"/>
      <c r="I29" s="83"/>
      <c r="R29" s="29"/>
      <c r="S29" s="87">
        <f>SUM(S16:S28)</f>
        <v>534.83349999999996</v>
      </c>
      <c r="T29" s="90"/>
      <c r="U29"/>
    </row>
    <row r="30" spans="1:23" s="95" customFormat="1" ht="12" customHeight="1" x14ac:dyDescent="0.25">
      <c r="A30" s="106"/>
      <c r="C30" s="114"/>
      <c r="D30" s="108"/>
      <c r="H30" s="83"/>
      <c r="I30" s="83"/>
      <c r="R30" s="31"/>
      <c r="S30" s="31"/>
      <c r="T30" s="31"/>
      <c r="U30"/>
    </row>
    <row r="31" spans="1:23" s="95" customFormat="1" ht="12" customHeight="1" x14ac:dyDescent="0.25">
      <c r="A31" s="106"/>
      <c r="H31" s="83"/>
      <c r="I31" s="83"/>
      <c r="R31"/>
      <c r="S31"/>
      <c r="T31"/>
      <c r="U31"/>
    </row>
    <row r="32" spans="1:23" s="95" customFormat="1" x14ac:dyDescent="0.25">
      <c r="A32" s="106"/>
      <c r="H32" s="83"/>
      <c r="I32" s="83"/>
      <c r="R32"/>
      <c r="S32"/>
      <c r="T32"/>
      <c r="U32"/>
    </row>
    <row r="33" spans="1:27" s="95" customFormat="1" x14ac:dyDescent="0.25">
      <c r="A33" s="106"/>
      <c r="H33" s="83"/>
      <c r="I33" s="83"/>
      <c r="R33"/>
      <c r="S33"/>
      <c r="T33"/>
      <c r="U33"/>
    </row>
    <row r="34" spans="1:27" s="95" customFormat="1" x14ac:dyDescent="0.25">
      <c r="A34" s="106"/>
      <c r="H34" s="83"/>
      <c r="I34" s="83"/>
      <c r="R34"/>
      <c r="S34"/>
      <c r="T34"/>
      <c r="U34"/>
    </row>
    <row r="35" spans="1:27" s="95" customFormat="1" x14ac:dyDescent="0.25">
      <c r="A35" s="106"/>
      <c r="H35" s="83"/>
      <c r="I35" s="83"/>
      <c r="R35"/>
      <c r="S35"/>
      <c r="T35"/>
      <c r="U35"/>
    </row>
    <row r="36" spans="1:27" s="81" customFormat="1" x14ac:dyDescent="0.25">
      <c r="A36" s="106"/>
      <c r="D36" s="82"/>
      <c r="R36"/>
      <c r="S36"/>
      <c r="T36"/>
      <c r="U36"/>
    </row>
    <row r="37" spans="1:27" s="81" customFormat="1" x14ac:dyDescent="0.25">
      <c r="A37" s="106"/>
      <c r="B37" s="104" t="s">
        <v>781</v>
      </c>
      <c r="D37" s="82"/>
      <c r="R37"/>
      <c r="S37"/>
      <c r="T37"/>
      <c r="U37"/>
    </row>
    <row r="38" spans="1:27" s="81" customFormat="1" ht="12.75" customHeight="1" x14ac:dyDescent="0.2">
      <c r="A38" s="106"/>
      <c r="B38" s="422" t="s">
        <v>147</v>
      </c>
      <c r="C38" s="422" t="s">
        <v>146</v>
      </c>
      <c r="D38" s="403" t="s">
        <v>260</v>
      </c>
    </row>
    <row r="39" spans="1:27" s="81" customFormat="1" ht="12.95" customHeight="1" x14ac:dyDescent="0.2">
      <c r="A39" s="106"/>
      <c r="B39" s="410" t="s">
        <v>782</v>
      </c>
      <c r="C39" s="411" t="s">
        <v>783</v>
      </c>
      <c r="D39" s="412">
        <v>1425.5830000000001</v>
      </c>
      <c r="F39" s="15" t="s">
        <v>573</v>
      </c>
      <c r="X39" s="115" t="s">
        <v>168</v>
      </c>
      <c r="Y39" s="116">
        <v>171112.58400000026</v>
      </c>
    </row>
    <row r="40" spans="1:27" s="81" customFormat="1" ht="12.95" customHeight="1" x14ac:dyDescent="0.2">
      <c r="A40" s="106"/>
      <c r="B40" s="413" t="s">
        <v>784</v>
      </c>
      <c r="C40" s="414" t="s">
        <v>785</v>
      </c>
      <c r="D40" s="415">
        <v>0.61499999999999999</v>
      </c>
      <c r="F40" s="22" t="s">
        <v>1644</v>
      </c>
      <c r="X40" s="115" t="s">
        <v>150</v>
      </c>
      <c r="Y40" s="116">
        <v>79691.850999999864</v>
      </c>
    </row>
    <row r="41" spans="1:27" s="81" customFormat="1" ht="12.95" customHeight="1" x14ac:dyDescent="0.2">
      <c r="A41" s="117"/>
      <c r="B41" s="413" t="s">
        <v>786</v>
      </c>
      <c r="C41" s="414" t="s">
        <v>787</v>
      </c>
      <c r="D41" s="415">
        <v>395.82899999999995</v>
      </c>
      <c r="X41" s="115" t="s">
        <v>162</v>
      </c>
      <c r="Y41" s="116">
        <v>74166.480900000141</v>
      </c>
      <c r="Z41" s="218" t="s">
        <v>168</v>
      </c>
      <c r="AA41" s="219">
        <v>128999.06399999982</v>
      </c>
    </row>
    <row r="42" spans="1:27" s="81" customFormat="1" ht="12.95" customHeight="1" x14ac:dyDescent="0.2">
      <c r="A42" s="117"/>
      <c r="B42" s="413"/>
      <c r="C42" s="414" t="s">
        <v>788</v>
      </c>
      <c r="D42" s="416">
        <v>1117.1639999999998</v>
      </c>
      <c r="X42" s="115" t="s">
        <v>167</v>
      </c>
      <c r="Y42" s="116">
        <v>66065.868000000264</v>
      </c>
      <c r="Z42" s="218" t="s">
        <v>170</v>
      </c>
      <c r="AA42" s="219">
        <v>119501.01141509401</v>
      </c>
    </row>
    <row r="43" spans="1:27" s="81" customFormat="1" ht="12.95" customHeight="1" x14ac:dyDescent="0.2">
      <c r="A43" s="117"/>
      <c r="B43" s="413" t="s">
        <v>789</v>
      </c>
      <c r="C43" s="414" t="s">
        <v>788</v>
      </c>
      <c r="D43" s="415">
        <v>4.5490000000000004</v>
      </c>
      <c r="X43" s="115" t="s">
        <v>178</v>
      </c>
      <c r="Y43" s="116">
        <v>49542.951000000015</v>
      </c>
      <c r="Z43" s="218" t="s">
        <v>162</v>
      </c>
      <c r="AA43" s="219">
        <v>115227.95499999987</v>
      </c>
    </row>
    <row r="44" spans="1:27" s="81" customFormat="1" ht="12.95" customHeight="1" x14ac:dyDescent="0.2">
      <c r="A44" s="117"/>
      <c r="B44" s="413"/>
      <c r="C44" s="414" t="s">
        <v>790</v>
      </c>
      <c r="D44" s="415">
        <v>22.777999999999999</v>
      </c>
      <c r="X44" s="115" t="s">
        <v>263</v>
      </c>
      <c r="Y44" s="116">
        <v>48868.578000000001</v>
      </c>
      <c r="Z44" s="218" t="s">
        <v>150</v>
      </c>
      <c r="AA44" s="219">
        <v>83904.568000000247</v>
      </c>
    </row>
    <row r="45" spans="1:27" s="81" customFormat="1" ht="12.95" customHeight="1" x14ac:dyDescent="0.2">
      <c r="A45" s="117"/>
      <c r="B45" s="413" t="s">
        <v>791</v>
      </c>
      <c r="C45" s="414" t="s">
        <v>792</v>
      </c>
      <c r="D45" s="416">
        <v>1759.7159999999997</v>
      </c>
      <c r="X45" s="115" t="s">
        <v>165</v>
      </c>
      <c r="Y45" s="116">
        <v>44804.408999999869</v>
      </c>
      <c r="Z45" s="218" t="s">
        <v>167</v>
      </c>
      <c r="AA45" s="219">
        <v>75471.704000000289</v>
      </c>
    </row>
    <row r="46" spans="1:27" s="81" customFormat="1" ht="12.95" customHeight="1" x14ac:dyDescent="0.2">
      <c r="A46" s="117"/>
      <c r="B46" s="413"/>
      <c r="C46" s="414" t="s">
        <v>793</v>
      </c>
      <c r="D46" s="415">
        <v>192.67899999999997</v>
      </c>
      <c r="X46" s="115" t="s">
        <v>155</v>
      </c>
      <c r="Y46" s="116">
        <v>40500.28100000001</v>
      </c>
      <c r="Z46" s="218" t="s">
        <v>163</v>
      </c>
      <c r="AA46" s="219">
        <v>53517.067000000003</v>
      </c>
    </row>
    <row r="47" spans="1:27" s="81" customFormat="1" ht="12.95" customHeight="1" x14ac:dyDescent="0.2">
      <c r="A47" s="117"/>
      <c r="B47" s="413"/>
      <c r="C47" s="414" t="s">
        <v>794</v>
      </c>
      <c r="D47" s="415">
        <v>3874.4999999999995</v>
      </c>
      <c r="X47" s="115" t="s">
        <v>177</v>
      </c>
      <c r="Y47" s="116">
        <v>39717.753999999914</v>
      </c>
      <c r="Z47" s="218" t="s">
        <v>177</v>
      </c>
      <c r="AA47" s="219">
        <v>51085.741000000104</v>
      </c>
    </row>
    <row r="48" spans="1:27" s="81" customFormat="1" ht="12.95" customHeight="1" x14ac:dyDescent="0.2">
      <c r="A48" s="117"/>
      <c r="B48" s="413" t="s">
        <v>795</v>
      </c>
      <c r="C48" s="414" t="s">
        <v>796</v>
      </c>
      <c r="D48" s="415">
        <v>125.25699999999998</v>
      </c>
      <c r="X48" s="115" t="s">
        <v>163</v>
      </c>
      <c r="Y48" s="116">
        <v>39229.513999999959</v>
      </c>
      <c r="Z48" s="218" t="s">
        <v>263</v>
      </c>
      <c r="AA48" s="219">
        <v>51021.860999999983</v>
      </c>
    </row>
    <row r="49" spans="1:27" s="81" customFormat="1" ht="12.95" customHeight="1" x14ac:dyDescent="0.2">
      <c r="A49" s="117"/>
      <c r="B49" s="413" t="s">
        <v>797</v>
      </c>
      <c r="C49" s="414" t="s">
        <v>798</v>
      </c>
      <c r="D49" s="416">
        <v>787.39500000000032</v>
      </c>
      <c r="X49" s="115" t="s">
        <v>176</v>
      </c>
      <c r="Y49" s="116">
        <v>38255.476000000017</v>
      </c>
      <c r="Z49" s="218" t="s">
        <v>155</v>
      </c>
      <c r="AA49" s="219">
        <v>43008.911</v>
      </c>
    </row>
    <row r="50" spans="1:27" s="81" customFormat="1" ht="12.95" customHeight="1" x14ac:dyDescent="0.2">
      <c r="A50" s="117"/>
      <c r="B50" s="413"/>
      <c r="C50" s="414" t="s">
        <v>799</v>
      </c>
      <c r="D50" s="415">
        <v>311.072</v>
      </c>
      <c r="X50" s="115" t="s">
        <v>170</v>
      </c>
      <c r="Y50" s="116">
        <v>35330.883999999998</v>
      </c>
      <c r="Z50" s="218" t="s">
        <v>165</v>
      </c>
      <c r="AA50" s="219">
        <v>38999.803999999975</v>
      </c>
    </row>
    <row r="51" spans="1:27" s="81" customFormat="1" ht="12.95" customHeight="1" x14ac:dyDescent="0.2">
      <c r="A51" s="117"/>
      <c r="B51" s="413" t="s">
        <v>800</v>
      </c>
      <c r="C51" s="414" t="s">
        <v>801</v>
      </c>
      <c r="D51" s="415">
        <v>62.811</v>
      </c>
      <c r="X51" s="115" t="s">
        <v>153</v>
      </c>
      <c r="Y51" s="116">
        <v>35242.016999999993</v>
      </c>
      <c r="Z51" s="218" t="s">
        <v>159</v>
      </c>
      <c r="AA51" s="219">
        <v>36409.249999999964</v>
      </c>
    </row>
    <row r="52" spans="1:27" s="81" customFormat="1" ht="12.95" customHeight="1" x14ac:dyDescent="0.2">
      <c r="A52" s="117"/>
      <c r="B52" s="413"/>
      <c r="C52" s="414" t="s">
        <v>798</v>
      </c>
      <c r="D52" s="415">
        <v>1672.8869999999997</v>
      </c>
      <c r="X52" s="115" t="s">
        <v>149</v>
      </c>
      <c r="Y52" s="116">
        <v>32942.034000000094</v>
      </c>
      <c r="Z52" s="218" t="s">
        <v>157</v>
      </c>
      <c r="AA52" s="219">
        <v>34131.139499999954</v>
      </c>
    </row>
    <row r="53" spans="1:27" s="81" customFormat="1" ht="12.95" customHeight="1" x14ac:dyDescent="0.2">
      <c r="A53" s="117"/>
      <c r="B53" s="413" t="s">
        <v>802</v>
      </c>
      <c r="C53" s="414" t="s">
        <v>792</v>
      </c>
      <c r="D53" s="416">
        <v>101.36000000000001</v>
      </c>
      <c r="X53" s="115" t="s">
        <v>152</v>
      </c>
      <c r="Y53" s="116">
        <v>30325.304000000007</v>
      </c>
      <c r="Z53" s="218" t="s">
        <v>265</v>
      </c>
      <c r="AA53" s="219">
        <v>32223.118000000013</v>
      </c>
    </row>
    <row r="54" spans="1:27" s="81" customFormat="1" ht="12.95" customHeight="1" x14ac:dyDescent="0.2">
      <c r="A54" s="117"/>
      <c r="B54" s="413"/>
      <c r="C54" s="414" t="s">
        <v>803</v>
      </c>
      <c r="D54" s="415">
        <v>244.56399999999999</v>
      </c>
      <c r="X54" s="115" t="s">
        <v>157</v>
      </c>
      <c r="Y54" s="116">
        <v>28175.137999999981</v>
      </c>
      <c r="Z54" s="218" t="s">
        <v>172</v>
      </c>
      <c r="AA54" s="219">
        <v>30919.357000000025</v>
      </c>
    </row>
    <row r="55" spans="1:27" s="81" customFormat="1" ht="12.95" customHeight="1" x14ac:dyDescent="0.2">
      <c r="A55" s="117"/>
      <c r="B55" s="413" t="s">
        <v>804</v>
      </c>
      <c r="C55" s="414" t="s">
        <v>805</v>
      </c>
      <c r="D55" s="415">
        <v>161.13299999999998</v>
      </c>
      <c r="X55" s="115" t="s">
        <v>159</v>
      </c>
      <c r="Y55" s="116">
        <v>27313.391999999993</v>
      </c>
      <c r="Z55" s="218" t="s">
        <v>149</v>
      </c>
      <c r="AA55" s="219">
        <v>29181.740000000023</v>
      </c>
    </row>
    <row r="56" spans="1:27" s="81" customFormat="1" ht="12.95" customHeight="1" x14ac:dyDescent="0.2">
      <c r="A56" s="117"/>
      <c r="B56" s="413" t="s">
        <v>806</v>
      </c>
      <c r="C56" s="414" t="s">
        <v>807</v>
      </c>
      <c r="D56" s="415">
        <v>2.234</v>
      </c>
      <c r="X56" s="115" t="s">
        <v>173</v>
      </c>
      <c r="Y56" s="116">
        <v>25123.316000000053</v>
      </c>
      <c r="Z56" s="218" t="s">
        <v>153</v>
      </c>
      <c r="AA56" s="219">
        <v>27596.434400000086</v>
      </c>
    </row>
    <row r="57" spans="1:27" s="81" customFormat="1" ht="12.95" customHeight="1" x14ac:dyDescent="0.2">
      <c r="A57" s="117"/>
      <c r="B57" s="413" t="s">
        <v>808</v>
      </c>
      <c r="C57" s="414" t="s">
        <v>809</v>
      </c>
      <c r="D57" s="415">
        <v>290.24499999999995</v>
      </c>
      <c r="X57" s="115" t="s">
        <v>179</v>
      </c>
      <c r="Y57" s="116">
        <v>23091.741000000002</v>
      </c>
      <c r="Z57" s="218" t="s">
        <v>178</v>
      </c>
      <c r="AA57" s="219">
        <v>26181.528000000013</v>
      </c>
    </row>
    <row r="58" spans="1:27" s="81" customFormat="1" ht="12.95" customHeight="1" x14ac:dyDescent="0.2">
      <c r="A58" s="117"/>
      <c r="B58" s="413"/>
      <c r="C58" s="417" t="s">
        <v>810</v>
      </c>
      <c r="D58" s="415">
        <v>27250.094999999943</v>
      </c>
      <c r="X58" s="115" t="s">
        <v>154</v>
      </c>
      <c r="Y58" s="116">
        <v>22925.460999999948</v>
      </c>
      <c r="Z58" s="218" t="s">
        <v>179</v>
      </c>
      <c r="AA58" s="219">
        <v>23362.333999999995</v>
      </c>
    </row>
    <row r="59" spans="1:27" s="81" customFormat="1" ht="12.95" customHeight="1" x14ac:dyDescent="0.2">
      <c r="A59" s="117"/>
      <c r="B59" s="413" t="s">
        <v>811</v>
      </c>
      <c r="C59" s="417" t="s">
        <v>812</v>
      </c>
      <c r="D59" s="415">
        <v>25115.715000000029</v>
      </c>
      <c r="Z59" s="218" t="s">
        <v>176</v>
      </c>
      <c r="AA59" s="219">
        <v>21009.386000000039</v>
      </c>
    </row>
    <row r="60" spans="1:27" s="81" customFormat="1" ht="12.95" customHeight="1" x14ac:dyDescent="0.2">
      <c r="A60" s="117"/>
      <c r="B60" s="413"/>
      <c r="C60" s="417" t="s">
        <v>813</v>
      </c>
      <c r="D60" s="415">
        <v>14.164999999999999</v>
      </c>
      <c r="Z60" s="218" t="s">
        <v>175</v>
      </c>
      <c r="AA60" s="219">
        <v>19674.403000000024</v>
      </c>
    </row>
    <row r="61" spans="1:27" s="81" customFormat="1" ht="12.95" customHeight="1" x14ac:dyDescent="0.2">
      <c r="A61" s="117"/>
      <c r="B61" s="413" t="s">
        <v>814</v>
      </c>
      <c r="C61" s="414" t="s">
        <v>815</v>
      </c>
      <c r="D61" s="415">
        <v>3.8519999999999999</v>
      </c>
    </row>
    <row r="62" spans="1:27" s="81" customFormat="1" ht="12.95" customHeight="1" x14ac:dyDescent="0.2">
      <c r="A62" s="117"/>
      <c r="B62" s="413"/>
      <c r="C62" s="414" t="s">
        <v>816</v>
      </c>
      <c r="D62" s="415">
        <v>4.4379999999999997</v>
      </c>
    </row>
    <row r="63" spans="1:27" s="81" customFormat="1" ht="12.95" customHeight="1" x14ac:dyDescent="0.2">
      <c r="A63" s="117"/>
      <c r="B63" s="413"/>
      <c r="C63" s="414" t="s">
        <v>817</v>
      </c>
      <c r="D63" s="415">
        <v>371.16699999999997</v>
      </c>
    </row>
    <row r="64" spans="1:27" s="81" customFormat="1" ht="12.95" customHeight="1" x14ac:dyDescent="0.2">
      <c r="A64" s="117"/>
      <c r="B64" s="413"/>
      <c r="C64" s="414" t="s">
        <v>818</v>
      </c>
      <c r="D64" s="415">
        <v>4.7480000000000002</v>
      </c>
    </row>
    <row r="65" spans="1:4" s="81" customFormat="1" ht="12.95" customHeight="1" x14ac:dyDescent="0.2">
      <c r="A65" s="117"/>
      <c r="B65" s="413"/>
      <c r="C65" s="417" t="s">
        <v>819</v>
      </c>
      <c r="D65" s="415">
        <v>34.573</v>
      </c>
    </row>
    <row r="66" spans="1:4" s="81" customFormat="1" ht="12.95" customHeight="1" x14ac:dyDescent="0.2">
      <c r="A66" s="117"/>
      <c r="B66" s="413"/>
      <c r="C66" s="414" t="s">
        <v>820</v>
      </c>
      <c r="D66" s="415">
        <v>12.237000000000002</v>
      </c>
    </row>
    <row r="67" spans="1:4" s="81" customFormat="1" ht="12.95" customHeight="1" x14ac:dyDescent="0.2">
      <c r="A67" s="117"/>
      <c r="B67" s="413" t="s">
        <v>821</v>
      </c>
      <c r="C67" s="414" t="s">
        <v>822</v>
      </c>
      <c r="D67" s="415">
        <v>0.80600000000000005</v>
      </c>
    </row>
    <row r="68" spans="1:4" s="81" customFormat="1" ht="12.95" customHeight="1" x14ac:dyDescent="0.2">
      <c r="A68" s="117"/>
      <c r="B68" s="413" t="s">
        <v>823</v>
      </c>
      <c r="C68" s="414" t="s">
        <v>824</v>
      </c>
      <c r="D68" s="415">
        <v>19.913999999999998</v>
      </c>
    </row>
    <row r="69" spans="1:4" s="81" customFormat="1" ht="12.95" customHeight="1" x14ac:dyDescent="0.2">
      <c r="A69" s="117"/>
      <c r="B69" s="413" t="s">
        <v>825</v>
      </c>
      <c r="C69" s="417" t="s">
        <v>824</v>
      </c>
      <c r="D69" s="415">
        <v>180.46300000000005</v>
      </c>
    </row>
    <row r="70" spans="1:4" s="81" customFormat="1" ht="12.95" customHeight="1" x14ac:dyDescent="0.2">
      <c r="A70" s="106"/>
      <c r="B70" s="413" t="s">
        <v>826</v>
      </c>
      <c r="C70" s="414" t="s">
        <v>827</v>
      </c>
      <c r="D70" s="415">
        <v>9.0920000000000005</v>
      </c>
    </row>
    <row r="71" spans="1:4" s="81" customFormat="1" ht="12.95" customHeight="1" x14ac:dyDescent="0.2">
      <c r="A71" s="106"/>
      <c r="B71" s="413" t="s">
        <v>828</v>
      </c>
      <c r="C71" s="414" t="s">
        <v>829</v>
      </c>
      <c r="D71" s="415">
        <v>170.54</v>
      </c>
    </row>
    <row r="72" spans="1:4" s="81" customFormat="1" ht="12.95" customHeight="1" x14ac:dyDescent="0.2">
      <c r="A72" s="106"/>
      <c r="B72" s="413"/>
      <c r="C72" s="414" t="s">
        <v>830</v>
      </c>
      <c r="D72" s="415">
        <v>5.5960000000000001</v>
      </c>
    </row>
    <row r="73" spans="1:4" s="81" customFormat="1" ht="12.95" customHeight="1" x14ac:dyDescent="0.2">
      <c r="A73" s="117"/>
      <c r="B73" s="413" t="s">
        <v>831</v>
      </c>
      <c r="C73" s="417" t="s">
        <v>832</v>
      </c>
      <c r="D73" s="415">
        <v>2.9620000000000002</v>
      </c>
    </row>
    <row r="74" spans="1:4" s="81" customFormat="1" ht="12.95" customHeight="1" x14ac:dyDescent="0.2">
      <c r="A74" s="117"/>
      <c r="B74" s="418"/>
      <c r="C74" s="417" t="s">
        <v>833</v>
      </c>
      <c r="D74" s="416">
        <v>200.21</v>
      </c>
    </row>
    <row r="75" spans="1:4" s="81" customFormat="1" ht="12.95" customHeight="1" x14ac:dyDescent="0.2">
      <c r="A75" s="117"/>
      <c r="B75" s="418" t="s">
        <v>834</v>
      </c>
      <c r="C75" s="414" t="s">
        <v>835</v>
      </c>
      <c r="D75" s="415">
        <v>80.616000000000014</v>
      </c>
    </row>
    <row r="76" spans="1:4" s="81" customFormat="1" ht="12.95" customHeight="1" x14ac:dyDescent="0.2">
      <c r="A76" s="117"/>
      <c r="B76" s="418" t="s">
        <v>836</v>
      </c>
      <c r="C76" s="417" t="s">
        <v>837</v>
      </c>
      <c r="D76" s="415">
        <v>529.89399999999989</v>
      </c>
    </row>
    <row r="77" spans="1:4" s="81" customFormat="1" ht="12.95" customHeight="1" x14ac:dyDescent="0.2">
      <c r="A77" s="117"/>
      <c r="B77" s="418"/>
      <c r="C77" s="414" t="s">
        <v>838</v>
      </c>
      <c r="D77" s="415">
        <v>11725.359000000022</v>
      </c>
    </row>
    <row r="78" spans="1:4" s="81" customFormat="1" ht="12.95" customHeight="1" x14ac:dyDescent="0.2">
      <c r="A78" s="117"/>
      <c r="B78" s="413"/>
      <c r="C78" s="414" t="s">
        <v>839</v>
      </c>
      <c r="D78" s="415">
        <v>136.72800000000001</v>
      </c>
    </row>
    <row r="79" spans="1:4" s="81" customFormat="1" ht="12.95" customHeight="1" x14ac:dyDescent="0.2">
      <c r="A79" s="117"/>
      <c r="B79" s="413" t="s">
        <v>840</v>
      </c>
      <c r="C79" s="414" t="s">
        <v>805</v>
      </c>
      <c r="D79" s="416">
        <v>150.59500000000003</v>
      </c>
    </row>
    <row r="80" spans="1:4" s="81" customFormat="1" ht="12.95" customHeight="1" x14ac:dyDescent="0.2">
      <c r="A80" s="117"/>
      <c r="B80" s="413"/>
      <c r="C80" s="414" t="s">
        <v>841</v>
      </c>
      <c r="D80" s="416">
        <v>106.99099999999999</v>
      </c>
    </row>
    <row r="81" spans="1:4" s="81" customFormat="1" ht="12.95" customHeight="1" x14ac:dyDescent="0.2">
      <c r="A81" s="117"/>
      <c r="B81" s="413" t="s">
        <v>842</v>
      </c>
      <c r="C81" s="414" t="s">
        <v>841</v>
      </c>
      <c r="D81" s="415">
        <v>550.93100000000015</v>
      </c>
    </row>
    <row r="82" spans="1:4" s="81" customFormat="1" ht="12.95" customHeight="1" x14ac:dyDescent="0.2">
      <c r="A82" s="117"/>
      <c r="B82" s="413" t="s">
        <v>843</v>
      </c>
      <c r="C82" s="417" t="s">
        <v>787</v>
      </c>
      <c r="D82" s="415">
        <v>132.43600000000001</v>
      </c>
    </row>
    <row r="83" spans="1:4" s="81" customFormat="1" ht="12.95" customHeight="1" x14ac:dyDescent="0.2">
      <c r="A83" s="117"/>
      <c r="B83" s="413"/>
      <c r="C83" s="414" t="s">
        <v>788</v>
      </c>
      <c r="D83" s="416">
        <v>112.54200000000002</v>
      </c>
    </row>
    <row r="84" spans="1:4" s="81" customFormat="1" ht="12.95" customHeight="1" x14ac:dyDescent="0.2">
      <c r="A84" s="117"/>
      <c r="B84" s="413"/>
      <c r="C84" s="414" t="s">
        <v>844</v>
      </c>
      <c r="D84" s="415">
        <v>872.86699999999973</v>
      </c>
    </row>
    <row r="85" spans="1:4" s="81" customFormat="1" ht="12.95" customHeight="1" x14ac:dyDescent="0.2">
      <c r="A85" s="117"/>
      <c r="B85" s="413"/>
      <c r="C85" s="414" t="s">
        <v>845</v>
      </c>
      <c r="D85" s="416">
        <v>101.92000000000002</v>
      </c>
    </row>
    <row r="86" spans="1:4" s="81" customFormat="1" ht="12.95" customHeight="1" x14ac:dyDescent="0.2">
      <c r="A86" s="117"/>
      <c r="B86" s="413"/>
      <c r="C86" s="414" t="s">
        <v>846</v>
      </c>
      <c r="D86" s="415">
        <v>127.25999999999995</v>
      </c>
    </row>
    <row r="87" spans="1:4" s="81" customFormat="1" ht="12.95" customHeight="1" x14ac:dyDescent="0.2">
      <c r="A87" s="117"/>
      <c r="B87" s="413"/>
      <c r="C87" s="414" t="s">
        <v>847</v>
      </c>
      <c r="D87" s="415">
        <v>3.8959999999999999</v>
      </c>
    </row>
    <row r="88" spans="1:4" s="81" customFormat="1" ht="12.95" customHeight="1" x14ac:dyDescent="0.2">
      <c r="A88" s="117"/>
      <c r="B88" s="413"/>
      <c r="C88" s="414" t="s">
        <v>848</v>
      </c>
      <c r="D88" s="415">
        <v>2211.1810000000014</v>
      </c>
    </row>
    <row r="89" spans="1:4" s="81" customFormat="1" ht="12.95" customHeight="1" x14ac:dyDescent="0.2">
      <c r="A89" s="117"/>
      <c r="B89" s="413"/>
      <c r="C89" s="417" t="s">
        <v>849</v>
      </c>
      <c r="D89" s="415">
        <v>12.263000000000002</v>
      </c>
    </row>
    <row r="90" spans="1:4" s="81" customFormat="1" ht="12.95" customHeight="1" x14ac:dyDescent="0.2">
      <c r="A90" s="117"/>
      <c r="B90" s="413"/>
      <c r="C90" s="414" t="s">
        <v>850</v>
      </c>
      <c r="D90" s="415">
        <v>607.37800000000004</v>
      </c>
    </row>
    <row r="91" spans="1:4" s="81" customFormat="1" ht="12.95" customHeight="1" x14ac:dyDescent="0.2">
      <c r="A91" s="117"/>
      <c r="B91" s="413" t="s">
        <v>851</v>
      </c>
      <c r="C91" s="414" t="s">
        <v>852</v>
      </c>
      <c r="D91" s="415">
        <v>0.42599999999999999</v>
      </c>
    </row>
    <row r="92" spans="1:4" s="81" customFormat="1" ht="12.95" customHeight="1" x14ac:dyDescent="0.2">
      <c r="A92" s="117"/>
      <c r="B92" s="413" t="s">
        <v>853</v>
      </c>
      <c r="C92" s="414" t="s">
        <v>854</v>
      </c>
      <c r="D92" s="416">
        <v>62210.474000000075</v>
      </c>
    </row>
    <row r="93" spans="1:4" s="81" customFormat="1" ht="12.95" customHeight="1" x14ac:dyDescent="0.2">
      <c r="A93" s="117"/>
      <c r="B93" s="413"/>
      <c r="C93" s="417" t="s">
        <v>855</v>
      </c>
      <c r="D93" s="415">
        <v>71.05</v>
      </c>
    </row>
    <row r="94" spans="1:4" s="81" customFormat="1" ht="12.95" customHeight="1" x14ac:dyDescent="0.2">
      <c r="A94" s="117"/>
      <c r="B94" s="413" t="s">
        <v>856</v>
      </c>
      <c r="C94" s="414" t="s">
        <v>854</v>
      </c>
      <c r="D94" s="415">
        <v>7538.451</v>
      </c>
    </row>
    <row r="95" spans="1:4" s="81" customFormat="1" ht="12.95" customHeight="1" x14ac:dyDescent="0.2">
      <c r="A95" s="117"/>
      <c r="B95" s="413" t="s">
        <v>857</v>
      </c>
      <c r="C95" s="414" t="s">
        <v>855</v>
      </c>
      <c r="D95" s="415">
        <v>7.931</v>
      </c>
    </row>
    <row r="96" spans="1:4" s="81" customFormat="1" ht="12.95" customHeight="1" x14ac:dyDescent="0.2">
      <c r="A96" s="117"/>
      <c r="B96" s="413" t="s">
        <v>858</v>
      </c>
      <c r="C96" s="414" t="s">
        <v>859</v>
      </c>
      <c r="D96" s="416">
        <v>3.198</v>
      </c>
    </row>
    <row r="97" spans="1:4" s="81" customFormat="1" ht="12.95" customHeight="1" x14ac:dyDescent="0.2">
      <c r="A97" s="117"/>
      <c r="B97" s="413" t="s">
        <v>860</v>
      </c>
      <c r="C97" s="414" t="s">
        <v>861</v>
      </c>
      <c r="D97" s="416">
        <v>36.590000000000003</v>
      </c>
    </row>
    <row r="98" spans="1:4" s="81" customFormat="1" ht="12.95" customHeight="1" x14ac:dyDescent="0.2">
      <c r="A98" s="117"/>
      <c r="B98" s="413"/>
      <c r="C98" s="414" t="s">
        <v>841</v>
      </c>
      <c r="D98" s="415">
        <v>219.798</v>
      </c>
    </row>
    <row r="99" spans="1:4" s="81" customFormat="1" ht="12.95" customHeight="1" x14ac:dyDescent="0.2">
      <c r="A99" s="117"/>
      <c r="B99" s="413" t="s">
        <v>862</v>
      </c>
      <c r="C99" s="417" t="s">
        <v>863</v>
      </c>
      <c r="D99" s="415">
        <v>78514.703000000125</v>
      </c>
    </row>
    <row r="100" spans="1:4" s="81" customFormat="1" ht="12.95" customHeight="1" x14ac:dyDescent="0.2">
      <c r="A100" s="117"/>
      <c r="B100" s="413"/>
      <c r="C100" s="414" t="s">
        <v>864</v>
      </c>
      <c r="D100" s="415">
        <v>77.916000000000011</v>
      </c>
    </row>
    <row r="101" spans="1:4" s="81" customFormat="1" ht="12.95" customHeight="1" x14ac:dyDescent="0.2">
      <c r="A101" s="117"/>
      <c r="B101" s="413"/>
      <c r="C101" s="414" t="s">
        <v>865</v>
      </c>
      <c r="D101" s="415">
        <v>2247.6410000000001</v>
      </c>
    </row>
    <row r="102" spans="1:4" s="81" customFormat="1" ht="12.95" customHeight="1" x14ac:dyDescent="0.25">
      <c r="A102" s="103"/>
      <c r="B102" s="413"/>
      <c r="C102" s="414" t="s">
        <v>866</v>
      </c>
      <c r="D102" s="415">
        <v>5946.9639999999981</v>
      </c>
    </row>
    <row r="103" spans="1:4" s="81" customFormat="1" ht="12.95" customHeight="1" x14ac:dyDescent="0.25">
      <c r="A103" s="103"/>
      <c r="B103" s="413"/>
      <c r="C103" s="414" t="s">
        <v>867</v>
      </c>
      <c r="D103" s="415">
        <v>23697.598000000009</v>
      </c>
    </row>
    <row r="104" spans="1:4" s="81" customFormat="1" ht="12.95" customHeight="1" x14ac:dyDescent="0.25">
      <c r="A104" s="103"/>
      <c r="B104" s="413"/>
      <c r="C104" s="414" t="s">
        <v>868</v>
      </c>
      <c r="D104" s="415">
        <v>908.88900000000001</v>
      </c>
    </row>
    <row r="105" spans="1:4" s="81" customFormat="1" ht="12.95" customHeight="1" x14ac:dyDescent="0.25">
      <c r="A105" s="103"/>
      <c r="B105" s="413"/>
      <c r="C105" s="414" t="s">
        <v>869</v>
      </c>
      <c r="D105" s="416">
        <v>726.4319999999999</v>
      </c>
    </row>
    <row r="106" spans="1:4" s="81" customFormat="1" ht="12.95" customHeight="1" x14ac:dyDescent="0.25">
      <c r="A106" s="103"/>
      <c r="B106" s="413" t="s">
        <v>870</v>
      </c>
      <c r="C106" s="414" t="s">
        <v>863</v>
      </c>
      <c r="D106" s="415">
        <v>756.68600000000015</v>
      </c>
    </row>
    <row r="107" spans="1:4" s="81" customFormat="1" ht="12.95" customHeight="1" x14ac:dyDescent="0.25">
      <c r="A107" s="103"/>
      <c r="B107" s="413"/>
      <c r="C107" s="417" t="s">
        <v>868</v>
      </c>
      <c r="D107" s="415">
        <v>4838.8179999999984</v>
      </c>
    </row>
    <row r="108" spans="1:4" s="81" customFormat="1" ht="12.95" customHeight="1" x14ac:dyDescent="0.25">
      <c r="A108" s="103"/>
      <c r="B108" s="413"/>
      <c r="C108" s="417" t="s">
        <v>869</v>
      </c>
      <c r="D108" s="415">
        <v>53.565999999999995</v>
      </c>
    </row>
    <row r="109" spans="1:4" s="81" customFormat="1" ht="12.95" customHeight="1" x14ac:dyDescent="0.25">
      <c r="A109" s="103"/>
      <c r="B109" s="413"/>
      <c r="C109" s="414" t="s">
        <v>871</v>
      </c>
      <c r="D109" s="415">
        <v>83.831999999999994</v>
      </c>
    </row>
    <row r="110" spans="1:4" s="81" customFormat="1" ht="12.95" customHeight="1" x14ac:dyDescent="0.25">
      <c r="A110" s="103"/>
      <c r="B110" s="413" t="s">
        <v>872</v>
      </c>
      <c r="C110" s="417" t="s">
        <v>863</v>
      </c>
      <c r="D110" s="415">
        <v>4768.9040000000005</v>
      </c>
    </row>
    <row r="111" spans="1:4" s="81" customFormat="1" ht="12.95" customHeight="1" x14ac:dyDescent="0.25">
      <c r="A111" s="103"/>
      <c r="B111" s="413"/>
      <c r="C111" s="414" t="s">
        <v>866</v>
      </c>
      <c r="D111" s="415">
        <v>7573.69</v>
      </c>
    </row>
    <row r="112" spans="1:4" s="81" customFormat="1" ht="12.95" customHeight="1" x14ac:dyDescent="0.25">
      <c r="A112" s="103"/>
      <c r="B112" s="413"/>
      <c r="C112" s="414" t="s">
        <v>867</v>
      </c>
      <c r="D112" s="415">
        <v>3853.3740000000003</v>
      </c>
    </row>
    <row r="113" spans="1:5" s="81" customFormat="1" ht="12.95" customHeight="1" x14ac:dyDescent="0.25">
      <c r="A113" s="103"/>
      <c r="B113" s="413"/>
      <c r="C113" s="414" t="s">
        <v>873</v>
      </c>
      <c r="D113" s="415">
        <v>282.73500000000001</v>
      </c>
    </row>
    <row r="114" spans="1:5" s="81" customFormat="1" ht="12.95" customHeight="1" x14ac:dyDescent="0.25">
      <c r="A114" s="103"/>
      <c r="B114" s="413" t="s">
        <v>874</v>
      </c>
      <c r="C114" s="414" t="s">
        <v>867</v>
      </c>
      <c r="D114" s="415">
        <v>155.52400000000006</v>
      </c>
    </row>
    <row r="115" spans="1:5" s="81" customFormat="1" ht="12.95" customHeight="1" x14ac:dyDescent="0.25">
      <c r="A115" s="103"/>
      <c r="B115" s="413" t="s">
        <v>875</v>
      </c>
      <c r="C115" s="414" t="s">
        <v>867</v>
      </c>
      <c r="D115" s="415">
        <v>663.09500000000014</v>
      </c>
    </row>
    <row r="116" spans="1:5" s="81" customFormat="1" ht="12.95" customHeight="1" x14ac:dyDescent="0.25">
      <c r="A116" s="103"/>
      <c r="B116" s="413" t="s">
        <v>876</v>
      </c>
      <c r="C116" s="414" t="s">
        <v>865</v>
      </c>
      <c r="D116" s="415">
        <v>34.076000000000001</v>
      </c>
    </row>
    <row r="117" spans="1:5" s="81" customFormat="1" ht="12.95" customHeight="1" x14ac:dyDescent="0.25">
      <c r="A117" s="103"/>
      <c r="B117" s="413"/>
      <c r="C117" s="414" t="s">
        <v>867</v>
      </c>
      <c r="D117" s="415">
        <v>23.18</v>
      </c>
    </row>
    <row r="118" spans="1:5" s="81" customFormat="1" ht="12.95" customHeight="1" x14ac:dyDescent="0.25">
      <c r="A118" s="103"/>
      <c r="B118" s="413" t="s">
        <v>877</v>
      </c>
      <c r="C118" s="414" t="s">
        <v>878</v>
      </c>
      <c r="D118" s="415">
        <v>147.52100000000002</v>
      </c>
    </row>
    <row r="119" spans="1:5" s="81" customFormat="1" ht="12.95" customHeight="1" x14ac:dyDescent="0.25">
      <c r="A119" s="103"/>
      <c r="B119" s="413"/>
      <c r="C119" s="414" t="s">
        <v>879</v>
      </c>
      <c r="D119" s="416">
        <v>876.52300000000002</v>
      </c>
    </row>
    <row r="120" spans="1:5" s="81" customFormat="1" ht="12.95" customHeight="1" x14ac:dyDescent="0.25">
      <c r="A120" s="103"/>
      <c r="B120" s="413"/>
      <c r="C120" s="414" t="s">
        <v>880</v>
      </c>
      <c r="D120" s="416">
        <v>678.94200000000012</v>
      </c>
    </row>
    <row r="121" spans="1:5" s="81" customFormat="1" ht="12.95" customHeight="1" x14ac:dyDescent="0.25">
      <c r="A121" s="103"/>
      <c r="B121" s="413"/>
      <c r="C121" s="414" t="s">
        <v>881</v>
      </c>
      <c r="D121" s="415">
        <v>91.013999999999996</v>
      </c>
    </row>
    <row r="122" spans="1:5" s="81" customFormat="1" ht="12.95" customHeight="1" x14ac:dyDescent="0.25">
      <c r="A122" s="103"/>
      <c r="B122" s="413" t="s">
        <v>882</v>
      </c>
      <c r="C122" s="417" t="s">
        <v>879</v>
      </c>
      <c r="D122" s="415">
        <v>947.48799999999994</v>
      </c>
      <c r="E122" s="82"/>
    </row>
    <row r="123" spans="1:5" s="81" customFormat="1" ht="12.95" customHeight="1" x14ac:dyDescent="0.25">
      <c r="A123" s="103"/>
      <c r="B123" s="413" t="s">
        <v>883</v>
      </c>
      <c r="C123" s="414" t="s">
        <v>880</v>
      </c>
      <c r="D123" s="415">
        <v>57.639000000000003</v>
      </c>
    </row>
    <row r="124" spans="1:5" s="81" customFormat="1" ht="12.95" customHeight="1" x14ac:dyDescent="0.25">
      <c r="A124" s="103"/>
      <c r="B124" s="413"/>
      <c r="C124" s="414" t="s">
        <v>881</v>
      </c>
      <c r="D124" s="415">
        <v>63.440000000000005</v>
      </c>
    </row>
    <row r="125" spans="1:5" s="81" customFormat="1" ht="12.95" customHeight="1" x14ac:dyDescent="0.25">
      <c r="A125" s="103"/>
      <c r="B125" s="413" t="s">
        <v>884</v>
      </c>
      <c r="C125" s="414" t="s">
        <v>885</v>
      </c>
      <c r="D125" s="415">
        <v>25.15</v>
      </c>
    </row>
    <row r="126" spans="1:5" s="81" customFormat="1" ht="12.95" customHeight="1" x14ac:dyDescent="0.25">
      <c r="A126" s="103"/>
      <c r="B126" s="413"/>
      <c r="C126" s="414" t="s">
        <v>886</v>
      </c>
      <c r="D126" s="415">
        <v>8142.264000000001</v>
      </c>
    </row>
    <row r="127" spans="1:5" s="81" customFormat="1" ht="12.95" customHeight="1" x14ac:dyDescent="0.25">
      <c r="A127" s="103"/>
      <c r="B127" s="413"/>
      <c r="C127" s="414" t="s">
        <v>887</v>
      </c>
      <c r="D127" s="415">
        <v>111.44099999999999</v>
      </c>
    </row>
    <row r="128" spans="1:5" s="81" customFormat="1" ht="12.95" customHeight="1" x14ac:dyDescent="0.25">
      <c r="A128" s="103"/>
      <c r="B128" s="413"/>
      <c r="C128" s="414" t="s">
        <v>888</v>
      </c>
      <c r="D128" s="415">
        <v>172.05400000000006</v>
      </c>
    </row>
    <row r="129" spans="1:4" s="81" customFormat="1" ht="12.95" customHeight="1" x14ac:dyDescent="0.25">
      <c r="A129" s="103"/>
      <c r="B129" s="413"/>
      <c r="C129" s="414" t="s">
        <v>889</v>
      </c>
      <c r="D129" s="416">
        <v>526.41099999999983</v>
      </c>
    </row>
    <row r="130" spans="1:4" s="81" customFormat="1" ht="12.95" customHeight="1" x14ac:dyDescent="0.25">
      <c r="A130" s="103"/>
      <c r="B130" s="413"/>
      <c r="C130" s="414" t="s">
        <v>890</v>
      </c>
      <c r="D130" s="415">
        <v>5.1550000000000002</v>
      </c>
    </row>
    <row r="131" spans="1:4" s="81" customFormat="1" ht="12.95" customHeight="1" x14ac:dyDescent="0.25">
      <c r="A131" s="103"/>
      <c r="B131" s="413"/>
      <c r="C131" s="417" t="s">
        <v>891</v>
      </c>
      <c r="D131" s="415">
        <v>1112.104</v>
      </c>
    </row>
    <row r="132" spans="1:4" s="81" customFormat="1" ht="12.95" customHeight="1" x14ac:dyDescent="0.25">
      <c r="A132" s="103"/>
      <c r="B132" s="413"/>
      <c r="C132" s="417" t="s">
        <v>892</v>
      </c>
      <c r="D132" s="415">
        <v>5.4180000000000001</v>
      </c>
    </row>
    <row r="133" spans="1:4" s="81" customFormat="1" ht="12.95" customHeight="1" x14ac:dyDescent="0.25">
      <c r="A133" s="103"/>
      <c r="B133" s="413"/>
      <c r="C133" s="414" t="s">
        <v>893</v>
      </c>
      <c r="D133" s="415">
        <v>1671.3690000000004</v>
      </c>
    </row>
    <row r="134" spans="1:4" s="81" customFormat="1" ht="12.95" customHeight="1" x14ac:dyDescent="0.25">
      <c r="A134" s="103"/>
      <c r="B134" s="413"/>
      <c r="C134" s="414" t="s">
        <v>894</v>
      </c>
      <c r="D134" s="416">
        <v>3.7080000000000002</v>
      </c>
    </row>
    <row r="135" spans="1:4" s="81" customFormat="1" ht="12.95" customHeight="1" x14ac:dyDescent="0.25">
      <c r="A135" s="103"/>
      <c r="B135" s="413"/>
      <c r="C135" s="414" t="s">
        <v>881</v>
      </c>
      <c r="D135" s="416">
        <v>4.7210000000000001</v>
      </c>
    </row>
    <row r="136" spans="1:4" s="81" customFormat="1" ht="12.95" customHeight="1" x14ac:dyDescent="0.25">
      <c r="A136" s="103"/>
      <c r="B136" s="413" t="s">
        <v>895</v>
      </c>
      <c r="C136" s="414" t="s">
        <v>896</v>
      </c>
      <c r="D136" s="416">
        <v>8.67</v>
      </c>
    </row>
    <row r="137" spans="1:4" s="81" customFormat="1" ht="12.95" customHeight="1" x14ac:dyDescent="0.25">
      <c r="A137" s="103"/>
      <c r="B137" s="413"/>
      <c r="C137" s="414" t="s">
        <v>892</v>
      </c>
      <c r="D137" s="415">
        <v>62.693000000000012</v>
      </c>
    </row>
    <row r="138" spans="1:4" s="81" customFormat="1" ht="12.95" customHeight="1" x14ac:dyDescent="0.25">
      <c r="A138" s="103"/>
      <c r="B138" s="413"/>
      <c r="C138" s="414" t="s">
        <v>893</v>
      </c>
      <c r="D138" s="416">
        <v>965.45999999999947</v>
      </c>
    </row>
    <row r="139" spans="1:4" s="81" customFormat="1" ht="12.95" customHeight="1" x14ac:dyDescent="0.25">
      <c r="A139" s="103"/>
      <c r="B139" s="413" t="s">
        <v>897</v>
      </c>
      <c r="C139" s="414" t="s">
        <v>893</v>
      </c>
      <c r="D139" s="415">
        <v>2.8479999999999999</v>
      </c>
    </row>
    <row r="140" spans="1:4" s="81" customFormat="1" ht="12.95" customHeight="1" x14ac:dyDescent="0.25">
      <c r="A140" s="103"/>
      <c r="B140" s="413" t="s">
        <v>898</v>
      </c>
      <c r="C140" s="414" t="s">
        <v>866</v>
      </c>
      <c r="D140" s="416">
        <v>444.17299999999994</v>
      </c>
    </row>
    <row r="141" spans="1:4" s="81" customFormat="1" ht="12.95" customHeight="1" x14ac:dyDescent="0.25">
      <c r="A141" s="103"/>
      <c r="B141" s="413"/>
      <c r="C141" s="414" t="s">
        <v>899</v>
      </c>
      <c r="D141" s="415">
        <v>4038.585</v>
      </c>
    </row>
    <row r="142" spans="1:4" s="81" customFormat="1" ht="12.95" customHeight="1" x14ac:dyDescent="0.25">
      <c r="A142" s="103"/>
      <c r="B142" s="413"/>
      <c r="C142" s="414" t="s">
        <v>900</v>
      </c>
      <c r="D142" s="416">
        <v>2001.1819999999998</v>
      </c>
    </row>
    <row r="143" spans="1:4" s="81" customFormat="1" ht="12.95" customHeight="1" x14ac:dyDescent="0.25">
      <c r="A143" s="103"/>
      <c r="B143" s="413" t="s">
        <v>901</v>
      </c>
      <c r="C143" s="414" t="s">
        <v>899</v>
      </c>
      <c r="D143" s="415">
        <v>5606.8960000000025</v>
      </c>
    </row>
    <row r="144" spans="1:4" s="81" customFormat="1" ht="12.95" customHeight="1" x14ac:dyDescent="0.25">
      <c r="A144" s="103"/>
      <c r="B144" s="413"/>
      <c r="C144" s="414" t="s">
        <v>879</v>
      </c>
      <c r="D144" s="415">
        <v>8957.3049999999967</v>
      </c>
    </row>
    <row r="145" spans="1:4" s="81" customFormat="1" ht="12.95" customHeight="1" x14ac:dyDescent="0.25">
      <c r="A145" s="103"/>
      <c r="B145" s="413"/>
      <c r="C145" s="414" t="s">
        <v>900</v>
      </c>
      <c r="D145" s="415">
        <v>15077.015999999996</v>
      </c>
    </row>
    <row r="146" spans="1:4" s="81" customFormat="1" ht="12.95" customHeight="1" x14ac:dyDescent="0.25">
      <c r="A146" s="103"/>
      <c r="B146" s="413"/>
      <c r="C146" s="414" t="s">
        <v>902</v>
      </c>
      <c r="D146" s="415">
        <v>592.15499999999997</v>
      </c>
    </row>
    <row r="147" spans="1:4" s="81" customFormat="1" ht="12.95" customHeight="1" x14ac:dyDescent="0.25">
      <c r="A147" s="103"/>
      <c r="B147" s="413" t="s">
        <v>903</v>
      </c>
      <c r="C147" s="414" t="s">
        <v>904</v>
      </c>
      <c r="D147" s="415">
        <v>18.128</v>
      </c>
    </row>
    <row r="148" spans="1:4" s="81" customFormat="1" ht="12.95" customHeight="1" x14ac:dyDescent="0.25">
      <c r="A148" s="103"/>
      <c r="B148" s="413"/>
      <c r="C148" s="414" t="s">
        <v>905</v>
      </c>
      <c r="D148" s="416">
        <v>12.573</v>
      </c>
    </row>
    <row r="149" spans="1:4" s="81" customFormat="1" ht="12.95" customHeight="1" x14ac:dyDescent="0.25">
      <c r="A149" s="103"/>
      <c r="B149" s="413"/>
      <c r="C149" s="414" t="s">
        <v>798</v>
      </c>
      <c r="D149" s="415">
        <v>39.113</v>
      </c>
    </row>
    <row r="150" spans="1:4" s="81" customFormat="1" ht="12.95" customHeight="1" x14ac:dyDescent="0.25">
      <c r="A150" s="103"/>
      <c r="B150" s="413" t="s">
        <v>906</v>
      </c>
      <c r="C150" s="414" t="s">
        <v>907</v>
      </c>
      <c r="D150" s="416">
        <v>90.753000000000014</v>
      </c>
    </row>
    <row r="151" spans="1:4" s="81" customFormat="1" ht="12.95" customHeight="1" x14ac:dyDescent="0.25">
      <c r="A151" s="103"/>
      <c r="B151" s="413" t="s">
        <v>908</v>
      </c>
      <c r="C151" s="414" t="s">
        <v>787</v>
      </c>
      <c r="D151" s="415">
        <v>8880.0550000000003</v>
      </c>
    </row>
    <row r="152" spans="1:4" s="81" customFormat="1" ht="12.95" customHeight="1" x14ac:dyDescent="0.25">
      <c r="A152" s="103"/>
      <c r="B152" s="413" t="s">
        <v>909</v>
      </c>
      <c r="C152" s="414" t="s">
        <v>910</v>
      </c>
      <c r="D152" s="416">
        <v>398.57100000000003</v>
      </c>
    </row>
    <row r="153" spans="1:4" s="81" customFormat="1" ht="12.95" customHeight="1" x14ac:dyDescent="0.25">
      <c r="A153" s="103"/>
      <c r="B153" s="413"/>
      <c r="C153" s="414" t="s">
        <v>911</v>
      </c>
      <c r="D153" s="415">
        <v>42869.751000000004</v>
      </c>
    </row>
    <row r="154" spans="1:4" s="81" customFormat="1" ht="12.95" customHeight="1" x14ac:dyDescent="0.25">
      <c r="A154" s="103"/>
      <c r="B154" s="413" t="s">
        <v>912</v>
      </c>
      <c r="C154" s="414" t="s">
        <v>910</v>
      </c>
      <c r="D154" s="416">
        <v>43.709000000000003</v>
      </c>
    </row>
    <row r="155" spans="1:4" s="81" customFormat="1" ht="12.95" customHeight="1" x14ac:dyDescent="0.25">
      <c r="A155" s="103"/>
      <c r="B155" s="413" t="s">
        <v>913</v>
      </c>
      <c r="C155" s="414" t="s">
        <v>914</v>
      </c>
      <c r="D155" s="415">
        <v>45.866</v>
      </c>
    </row>
    <row r="156" spans="1:4" s="81" customFormat="1" ht="12.95" customHeight="1" x14ac:dyDescent="0.25">
      <c r="A156" s="103"/>
      <c r="B156" s="413"/>
      <c r="C156" s="417" t="s">
        <v>915</v>
      </c>
      <c r="D156" s="415">
        <v>40121.463999999993</v>
      </c>
    </row>
    <row r="157" spans="1:4" s="81" customFormat="1" ht="12.95" customHeight="1" x14ac:dyDescent="0.25">
      <c r="A157" s="103"/>
      <c r="B157" s="413"/>
      <c r="C157" s="414" t="s">
        <v>916</v>
      </c>
      <c r="D157" s="416">
        <v>1760.6970000000001</v>
      </c>
    </row>
    <row r="158" spans="1:4" s="81" customFormat="1" ht="12.95" customHeight="1" x14ac:dyDescent="0.25">
      <c r="A158" s="103"/>
      <c r="B158" s="413"/>
      <c r="C158" s="414" t="s">
        <v>917</v>
      </c>
      <c r="D158" s="416">
        <v>558.61199999999997</v>
      </c>
    </row>
    <row r="159" spans="1:4" s="81" customFormat="1" ht="12.95" customHeight="1" x14ac:dyDescent="0.25">
      <c r="A159" s="103"/>
      <c r="B159" s="413" t="s">
        <v>918</v>
      </c>
      <c r="C159" s="414" t="s">
        <v>824</v>
      </c>
      <c r="D159" s="415">
        <v>317.09999999999997</v>
      </c>
    </row>
    <row r="160" spans="1:4" s="81" customFormat="1" ht="12.95" customHeight="1" x14ac:dyDescent="0.25">
      <c r="A160" s="103"/>
      <c r="B160" s="413" t="s">
        <v>919</v>
      </c>
      <c r="C160" s="414" t="s">
        <v>920</v>
      </c>
      <c r="D160" s="415">
        <v>70.97</v>
      </c>
    </row>
    <row r="161" spans="1:4" s="81" customFormat="1" ht="12.95" customHeight="1" x14ac:dyDescent="0.25">
      <c r="A161" s="103"/>
      <c r="B161" s="413"/>
      <c r="C161" s="414" t="s">
        <v>921</v>
      </c>
      <c r="D161" s="416">
        <v>391.17399999999998</v>
      </c>
    </row>
    <row r="162" spans="1:4" s="81" customFormat="1" ht="12.95" customHeight="1" x14ac:dyDescent="0.25">
      <c r="A162" s="103"/>
      <c r="B162" s="413"/>
      <c r="C162" s="414" t="s">
        <v>922</v>
      </c>
      <c r="D162" s="415">
        <v>6.7850000000000001</v>
      </c>
    </row>
    <row r="163" spans="1:4" s="81" customFormat="1" ht="12.95" customHeight="1" x14ac:dyDescent="0.25">
      <c r="A163" s="103"/>
      <c r="B163" s="413"/>
      <c r="C163" s="417" t="s">
        <v>923</v>
      </c>
      <c r="D163" s="415">
        <v>4.4969999999999999</v>
      </c>
    </row>
    <row r="164" spans="1:4" s="81" customFormat="1" ht="12.95" customHeight="1" x14ac:dyDescent="0.25">
      <c r="A164" s="103"/>
      <c r="B164" s="413"/>
      <c r="C164" s="414" t="s">
        <v>924</v>
      </c>
      <c r="D164" s="415">
        <v>5.54</v>
      </c>
    </row>
    <row r="165" spans="1:4" s="81" customFormat="1" ht="12.95" customHeight="1" x14ac:dyDescent="0.25">
      <c r="A165" s="103"/>
      <c r="B165" s="413" t="s">
        <v>925</v>
      </c>
      <c r="C165" s="414" t="s">
        <v>926</v>
      </c>
      <c r="D165" s="415">
        <v>4.6349999999999998</v>
      </c>
    </row>
    <row r="166" spans="1:4" s="81" customFormat="1" ht="12.95" customHeight="1" x14ac:dyDescent="0.25">
      <c r="A166" s="103"/>
      <c r="B166" s="413"/>
      <c r="C166" s="414" t="s">
        <v>927</v>
      </c>
      <c r="D166" s="415">
        <v>4.3130000000000006</v>
      </c>
    </row>
    <row r="167" spans="1:4" s="81" customFormat="1" ht="12.95" customHeight="1" x14ac:dyDescent="0.25">
      <c r="A167" s="103"/>
      <c r="B167" s="413"/>
      <c r="C167" s="417" t="s">
        <v>928</v>
      </c>
      <c r="D167" s="415">
        <v>197.011</v>
      </c>
    </row>
    <row r="168" spans="1:4" s="81" customFormat="1" ht="12.95" customHeight="1" x14ac:dyDescent="0.25">
      <c r="A168" s="103"/>
      <c r="B168" s="413"/>
      <c r="C168" s="414" t="s">
        <v>929</v>
      </c>
      <c r="D168" s="415">
        <v>30.263000000000002</v>
      </c>
    </row>
    <row r="169" spans="1:4" s="81" customFormat="1" ht="12.95" customHeight="1" x14ac:dyDescent="0.25">
      <c r="A169" s="103"/>
      <c r="B169" s="413" t="s">
        <v>930</v>
      </c>
      <c r="C169" s="414" t="s">
        <v>931</v>
      </c>
      <c r="D169" s="415">
        <v>31.727</v>
      </c>
    </row>
    <row r="170" spans="1:4" s="81" customFormat="1" ht="12.95" customHeight="1" x14ac:dyDescent="0.25">
      <c r="A170" s="103"/>
      <c r="B170" s="413"/>
      <c r="C170" s="414" t="s">
        <v>932</v>
      </c>
      <c r="D170" s="415">
        <v>1.8919999999999999</v>
      </c>
    </row>
    <row r="171" spans="1:4" s="81" customFormat="1" ht="12.95" customHeight="1" x14ac:dyDescent="0.25">
      <c r="A171" s="103"/>
      <c r="B171" s="413" t="s">
        <v>933</v>
      </c>
      <c r="C171" s="414" t="s">
        <v>934</v>
      </c>
      <c r="D171" s="415">
        <v>12.715999999999999</v>
      </c>
    </row>
    <row r="172" spans="1:4" s="81" customFormat="1" ht="12.95" customHeight="1" x14ac:dyDescent="0.25">
      <c r="A172" s="103"/>
      <c r="B172" s="413" t="s">
        <v>935</v>
      </c>
      <c r="C172" s="414" t="s">
        <v>936</v>
      </c>
      <c r="D172" s="416">
        <v>6041.3889999999992</v>
      </c>
    </row>
    <row r="173" spans="1:4" s="81" customFormat="1" ht="12.95" customHeight="1" x14ac:dyDescent="0.25">
      <c r="A173" s="103"/>
      <c r="B173" s="413" t="s">
        <v>937</v>
      </c>
      <c r="C173" s="414" t="s">
        <v>936</v>
      </c>
      <c r="D173" s="415">
        <v>7210.2639999999965</v>
      </c>
    </row>
    <row r="174" spans="1:4" s="81" customFormat="1" ht="12.95" customHeight="1" x14ac:dyDescent="0.25">
      <c r="A174" s="103"/>
      <c r="B174" s="413"/>
      <c r="C174" s="414" t="s">
        <v>938</v>
      </c>
      <c r="D174" s="415">
        <v>116.89100000000001</v>
      </c>
    </row>
    <row r="175" spans="1:4" s="81" customFormat="1" x14ac:dyDescent="0.25">
      <c r="A175" s="103"/>
      <c r="B175" s="413" t="s">
        <v>939</v>
      </c>
      <c r="C175" s="414" t="s">
        <v>940</v>
      </c>
      <c r="D175" s="416">
        <v>35294.335000000021</v>
      </c>
    </row>
    <row r="176" spans="1:4" s="81" customFormat="1" x14ac:dyDescent="0.25">
      <c r="A176" s="103"/>
      <c r="B176" s="413" t="s">
        <v>941</v>
      </c>
      <c r="C176" s="414" t="s">
        <v>899</v>
      </c>
      <c r="D176" s="416">
        <v>306.86500000000012</v>
      </c>
    </row>
    <row r="177" spans="1:4" s="81" customFormat="1" x14ac:dyDescent="0.25">
      <c r="A177" s="103"/>
      <c r="B177" s="413"/>
      <c r="C177" s="414" t="s">
        <v>879</v>
      </c>
      <c r="D177" s="416">
        <v>180.87200000000004</v>
      </c>
    </row>
    <row r="178" spans="1:4" s="81" customFormat="1" x14ac:dyDescent="0.25">
      <c r="A178" s="103"/>
      <c r="B178" s="413"/>
      <c r="C178" s="414" t="s">
        <v>942</v>
      </c>
      <c r="D178" s="416">
        <v>19.103999999999999</v>
      </c>
    </row>
    <row r="179" spans="1:4" s="81" customFormat="1" x14ac:dyDescent="0.25">
      <c r="A179" s="103"/>
      <c r="B179" s="413" t="s">
        <v>943</v>
      </c>
      <c r="C179" s="414" t="s">
        <v>911</v>
      </c>
      <c r="D179" s="416">
        <v>22.79</v>
      </c>
    </row>
    <row r="180" spans="1:4" s="81" customFormat="1" x14ac:dyDescent="0.25">
      <c r="A180" s="103"/>
      <c r="B180" s="413"/>
      <c r="C180" s="414" t="s">
        <v>790</v>
      </c>
      <c r="D180" s="416">
        <v>1196.5249999999996</v>
      </c>
    </row>
    <row r="181" spans="1:4" s="81" customFormat="1" x14ac:dyDescent="0.25">
      <c r="A181" s="103"/>
      <c r="B181" s="413"/>
      <c r="C181" s="414" t="s">
        <v>845</v>
      </c>
      <c r="D181" s="416">
        <v>29.375</v>
      </c>
    </row>
    <row r="182" spans="1:4" s="81" customFormat="1" x14ac:dyDescent="0.25">
      <c r="A182" s="103"/>
      <c r="B182" s="413"/>
      <c r="C182" s="414" t="s">
        <v>944</v>
      </c>
      <c r="D182" s="416">
        <v>286.13400000000001</v>
      </c>
    </row>
    <row r="183" spans="1:4" s="81" customFormat="1" x14ac:dyDescent="0.25">
      <c r="A183" s="103"/>
      <c r="B183" s="413"/>
      <c r="C183" s="414" t="s">
        <v>848</v>
      </c>
      <c r="D183" s="416">
        <v>56.018000000000001</v>
      </c>
    </row>
    <row r="184" spans="1:4" s="81" customFormat="1" x14ac:dyDescent="0.25">
      <c r="A184" s="103"/>
      <c r="B184" s="413"/>
      <c r="C184" s="414" t="s">
        <v>945</v>
      </c>
      <c r="D184" s="416">
        <v>128.35999999999999</v>
      </c>
    </row>
    <row r="185" spans="1:4" s="81" customFormat="1" ht="15" customHeight="1" x14ac:dyDescent="0.25">
      <c r="A185" s="103"/>
      <c r="B185" s="413" t="s">
        <v>946</v>
      </c>
      <c r="C185" s="414" t="s">
        <v>790</v>
      </c>
      <c r="D185" s="416">
        <v>39.748999999999995</v>
      </c>
    </row>
    <row r="186" spans="1:4" s="81" customFormat="1" ht="15" customHeight="1" x14ac:dyDescent="0.25">
      <c r="A186" s="103"/>
      <c r="B186" s="413"/>
      <c r="C186" s="414" t="s">
        <v>944</v>
      </c>
      <c r="D186" s="416">
        <v>283.17099999999999</v>
      </c>
    </row>
    <row r="187" spans="1:4" s="81" customFormat="1" ht="15" customHeight="1" x14ac:dyDescent="0.25">
      <c r="A187" s="103"/>
      <c r="B187" s="413"/>
      <c r="C187" s="414" t="s">
        <v>846</v>
      </c>
      <c r="D187" s="416">
        <v>64.347999999999999</v>
      </c>
    </row>
    <row r="188" spans="1:4" s="81" customFormat="1" ht="15" customHeight="1" x14ac:dyDescent="0.25">
      <c r="A188" s="103"/>
      <c r="B188" s="413" t="s">
        <v>947</v>
      </c>
      <c r="C188" s="414" t="s">
        <v>848</v>
      </c>
      <c r="D188" s="416">
        <v>37.444000000000003</v>
      </c>
    </row>
    <row r="189" spans="1:4" s="81" customFormat="1" x14ac:dyDescent="0.25">
      <c r="A189" s="103"/>
      <c r="B189" s="413" t="s">
        <v>948</v>
      </c>
      <c r="C189" s="414" t="s">
        <v>949</v>
      </c>
      <c r="D189" s="416">
        <v>19.143999999999998</v>
      </c>
    </row>
    <row r="190" spans="1:4" s="81" customFormat="1" ht="15" customHeight="1" x14ac:dyDescent="0.25">
      <c r="A190" s="103"/>
      <c r="B190" s="413"/>
      <c r="C190" s="414" t="s">
        <v>950</v>
      </c>
      <c r="D190" s="416">
        <v>187.87799999999999</v>
      </c>
    </row>
    <row r="191" spans="1:4" s="81" customFormat="1" x14ac:dyDescent="0.25">
      <c r="A191" s="103"/>
      <c r="B191" s="413"/>
      <c r="C191" s="414" t="s">
        <v>951</v>
      </c>
      <c r="D191" s="416">
        <v>62.535999999999994</v>
      </c>
    </row>
    <row r="192" spans="1:4" s="81" customFormat="1" x14ac:dyDescent="0.25">
      <c r="A192" s="103"/>
      <c r="B192" s="413" t="s">
        <v>952</v>
      </c>
      <c r="C192" s="414" t="s">
        <v>953</v>
      </c>
      <c r="D192" s="416">
        <v>14.257</v>
      </c>
    </row>
    <row r="193" spans="1:6" s="81" customFormat="1" ht="15" customHeight="1" x14ac:dyDescent="0.25">
      <c r="A193" s="103"/>
      <c r="B193" s="413"/>
      <c r="C193" s="414" t="s">
        <v>954</v>
      </c>
      <c r="D193" s="416">
        <v>63.915999999999997</v>
      </c>
    </row>
    <row r="194" spans="1:6" s="81" customFormat="1" x14ac:dyDescent="0.25">
      <c r="A194" s="103"/>
      <c r="B194" s="413"/>
      <c r="C194" s="414" t="s">
        <v>955</v>
      </c>
      <c r="D194" s="416">
        <v>82.299000000000007</v>
      </c>
    </row>
    <row r="195" spans="1:6" s="81" customFormat="1" x14ac:dyDescent="0.25">
      <c r="A195" s="103"/>
      <c r="B195" s="413"/>
      <c r="C195" s="414" t="s">
        <v>956</v>
      </c>
      <c r="D195" s="416">
        <v>1618.0920000000006</v>
      </c>
    </row>
    <row r="196" spans="1:6" s="81" customFormat="1" x14ac:dyDescent="0.25">
      <c r="A196" s="103"/>
      <c r="B196" s="413" t="s">
        <v>957</v>
      </c>
      <c r="C196" s="414" t="s">
        <v>956</v>
      </c>
      <c r="D196" s="416">
        <v>212.83200000000005</v>
      </c>
    </row>
    <row r="197" spans="1:6" s="81" customFormat="1" ht="15" customHeight="1" x14ac:dyDescent="0.25">
      <c r="A197" s="103"/>
      <c r="B197" s="413" t="s">
        <v>958</v>
      </c>
      <c r="C197" s="414" t="s">
        <v>959</v>
      </c>
      <c r="D197" s="416">
        <v>17.378</v>
      </c>
      <c r="F197" s="82"/>
    </row>
    <row r="198" spans="1:6" s="81" customFormat="1" x14ac:dyDescent="0.25">
      <c r="A198" s="103"/>
      <c r="B198" s="413" t="s">
        <v>960</v>
      </c>
      <c r="C198" s="414" t="s">
        <v>961</v>
      </c>
      <c r="D198" s="416">
        <v>336.39699999999999</v>
      </c>
    </row>
    <row r="199" spans="1:6" s="81" customFormat="1" ht="15" customHeight="1" x14ac:dyDescent="0.25">
      <c r="A199" s="103"/>
      <c r="B199" s="413"/>
      <c r="C199" s="414" t="s">
        <v>953</v>
      </c>
      <c r="D199" s="416">
        <v>321.45699999999999</v>
      </c>
    </row>
    <row r="200" spans="1:6" s="81" customFormat="1" x14ac:dyDescent="0.25">
      <c r="A200" s="103"/>
      <c r="B200" s="413"/>
      <c r="C200" s="414" t="s">
        <v>962</v>
      </c>
      <c r="D200" s="416">
        <v>59.91</v>
      </c>
    </row>
    <row r="201" spans="1:6" s="81" customFormat="1" ht="15" customHeight="1" x14ac:dyDescent="0.25">
      <c r="A201" s="103"/>
      <c r="B201" s="413" t="s">
        <v>963</v>
      </c>
      <c r="C201" s="414" t="s">
        <v>959</v>
      </c>
      <c r="D201" s="416">
        <v>60.088999999999999</v>
      </c>
    </row>
    <row r="202" spans="1:6" s="81" customFormat="1" ht="15" customHeight="1" x14ac:dyDescent="0.25">
      <c r="A202" s="103"/>
      <c r="B202" s="413" t="s">
        <v>964</v>
      </c>
      <c r="C202" s="414" t="s">
        <v>953</v>
      </c>
      <c r="D202" s="416">
        <v>9.4529999999999994</v>
      </c>
    </row>
    <row r="203" spans="1:6" s="81" customFormat="1" ht="15" customHeight="1" x14ac:dyDescent="0.25">
      <c r="A203" s="103"/>
      <c r="B203" s="413" t="s">
        <v>965</v>
      </c>
      <c r="C203" s="414" t="s">
        <v>961</v>
      </c>
      <c r="D203" s="416">
        <v>382.90499999999997</v>
      </c>
    </row>
    <row r="204" spans="1:6" s="81" customFormat="1" ht="15" customHeight="1" x14ac:dyDescent="0.25">
      <c r="A204" s="103"/>
      <c r="B204" s="413" t="s">
        <v>966</v>
      </c>
      <c r="C204" s="414" t="s">
        <v>959</v>
      </c>
      <c r="D204" s="416">
        <v>2.1659999999999999</v>
      </c>
    </row>
    <row r="205" spans="1:6" s="81" customFormat="1" x14ac:dyDescent="0.25">
      <c r="A205" s="103"/>
      <c r="B205" s="413" t="s">
        <v>967</v>
      </c>
      <c r="C205" s="414" t="s">
        <v>959</v>
      </c>
      <c r="D205" s="416">
        <v>390.48599999999993</v>
      </c>
    </row>
    <row r="206" spans="1:6" s="81" customFormat="1" x14ac:dyDescent="0.25">
      <c r="A206" s="103"/>
      <c r="B206" s="413" t="s">
        <v>968</v>
      </c>
      <c r="C206" s="414" t="s">
        <v>959</v>
      </c>
      <c r="D206" s="416">
        <v>23.77</v>
      </c>
    </row>
    <row r="207" spans="1:6" s="81" customFormat="1" x14ac:dyDescent="0.25">
      <c r="A207" s="103"/>
      <c r="B207" s="413"/>
      <c r="C207" s="414" t="s">
        <v>954</v>
      </c>
      <c r="D207" s="416">
        <v>2.7410000000000001</v>
      </c>
    </row>
    <row r="208" spans="1:6" s="81" customFormat="1" ht="15" customHeight="1" x14ac:dyDescent="0.25">
      <c r="A208" s="103"/>
      <c r="B208" s="413"/>
      <c r="C208" s="414" t="s">
        <v>956</v>
      </c>
      <c r="D208" s="416">
        <v>24.876000000000001</v>
      </c>
    </row>
    <row r="209" spans="1:4" s="81" customFormat="1" ht="15" customHeight="1" x14ac:dyDescent="0.25">
      <c r="A209" s="103"/>
      <c r="B209" s="413" t="s">
        <v>969</v>
      </c>
      <c r="C209" s="414" t="s">
        <v>970</v>
      </c>
      <c r="D209" s="416">
        <v>225.20600000000002</v>
      </c>
    </row>
    <row r="210" spans="1:4" s="81" customFormat="1" ht="15" customHeight="1" x14ac:dyDescent="0.25">
      <c r="A210" s="103"/>
      <c r="B210" s="413"/>
      <c r="C210" s="414" t="s">
        <v>971</v>
      </c>
      <c r="D210" s="416">
        <v>14.034000000000001</v>
      </c>
    </row>
    <row r="211" spans="1:4" s="81" customFormat="1" x14ac:dyDescent="0.25">
      <c r="A211" s="103"/>
      <c r="B211" s="413"/>
      <c r="C211" s="414" t="s">
        <v>972</v>
      </c>
      <c r="D211" s="416">
        <v>4.569</v>
      </c>
    </row>
    <row r="212" spans="1:4" s="81" customFormat="1" x14ac:dyDescent="0.25">
      <c r="A212" s="103"/>
      <c r="B212" s="413" t="s">
        <v>973</v>
      </c>
      <c r="C212" s="414" t="s">
        <v>974</v>
      </c>
      <c r="D212" s="416">
        <v>1.222</v>
      </c>
    </row>
    <row r="213" spans="1:4" s="81" customFormat="1" ht="15" customHeight="1" x14ac:dyDescent="0.25">
      <c r="A213" s="103"/>
      <c r="B213" s="413" t="s">
        <v>975</v>
      </c>
      <c r="C213" s="414" t="s">
        <v>955</v>
      </c>
      <c r="D213" s="416">
        <v>1170.5309999999999</v>
      </c>
    </row>
    <row r="214" spans="1:4" s="81" customFormat="1" x14ac:dyDescent="0.25">
      <c r="A214" s="103"/>
      <c r="B214" s="413" t="s">
        <v>976</v>
      </c>
      <c r="C214" s="414" t="s">
        <v>977</v>
      </c>
      <c r="D214" s="416">
        <v>7.8249999999999993</v>
      </c>
    </row>
    <row r="215" spans="1:4" s="81" customFormat="1" ht="15" customHeight="1" x14ac:dyDescent="0.25">
      <c r="A215" s="103"/>
      <c r="B215" s="413" t="s">
        <v>978</v>
      </c>
      <c r="C215" s="414" t="s">
        <v>979</v>
      </c>
      <c r="D215" s="416">
        <v>0.26600000000000001</v>
      </c>
    </row>
    <row r="216" spans="1:4" s="81" customFormat="1" ht="15" customHeight="1" x14ac:dyDescent="0.25">
      <c r="A216" s="103"/>
      <c r="B216" s="413"/>
      <c r="C216" s="414" t="s">
        <v>980</v>
      </c>
      <c r="D216" s="416">
        <v>3.2079999999999997</v>
      </c>
    </row>
    <row r="217" spans="1:4" s="81" customFormat="1" x14ac:dyDescent="0.25">
      <c r="A217" s="103"/>
      <c r="B217" s="413" t="s">
        <v>981</v>
      </c>
      <c r="C217" s="414" t="s">
        <v>982</v>
      </c>
      <c r="D217" s="416">
        <v>59.094999999999999</v>
      </c>
    </row>
    <row r="218" spans="1:4" s="81" customFormat="1" ht="15" customHeight="1" x14ac:dyDescent="0.25">
      <c r="A218" s="103"/>
      <c r="B218" s="413"/>
      <c r="C218" s="414" t="s">
        <v>983</v>
      </c>
      <c r="D218" s="416">
        <v>37.265000000000001</v>
      </c>
    </row>
    <row r="219" spans="1:4" s="81" customFormat="1" x14ac:dyDescent="0.25">
      <c r="A219" s="103"/>
      <c r="B219" s="413" t="s">
        <v>984</v>
      </c>
      <c r="C219" s="414" t="s">
        <v>985</v>
      </c>
      <c r="D219" s="416">
        <v>104.40300000000001</v>
      </c>
    </row>
    <row r="220" spans="1:4" s="81" customFormat="1" x14ac:dyDescent="0.25">
      <c r="A220" s="103"/>
      <c r="B220" s="413"/>
      <c r="C220" s="414" t="s">
        <v>885</v>
      </c>
      <c r="D220" s="416">
        <v>121.726</v>
      </c>
    </row>
    <row r="221" spans="1:4" s="81" customFormat="1" ht="15" customHeight="1" x14ac:dyDescent="0.25">
      <c r="A221" s="103"/>
      <c r="B221" s="413"/>
      <c r="C221" s="414" t="s">
        <v>859</v>
      </c>
      <c r="D221" s="416">
        <v>736.82899999999984</v>
      </c>
    </row>
    <row r="222" spans="1:4" s="81" customFormat="1" ht="15" customHeight="1" x14ac:dyDescent="0.25">
      <c r="A222" s="103"/>
      <c r="B222" s="413"/>
      <c r="C222" s="414" t="s">
        <v>986</v>
      </c>
      <c r="D222" s="416">
        <v>140.07900000000001</v>
      </c>
    </row>
    <row r="223" spans="1:4" s="81" customFormat="1" ht="15" customHeight="1" x14ac:dyDescent="0.25">
      <c r="A223" s="103"/>
      <c r="B223" s="413"/>
      <c r="C223" s="414" t="s">
        <v>987</v>
      </c>
      <c r="D223" s="416">
        <v>2932.2950000000001</v>
      </c>
    </row>
    <row r="224" spans="1:4" s="81" customFormat="1" ht="15" customHeight="1" x14ac:dyDescent="0.25">
      <c r="A224" s="103"/>
      <c r="B224" s="413"/>
      <c r="C224" s="414" t="s">
        <v>988</v>
      </c>
      <c r="D224" s="416">
        <v>81.448999999999998</v>
      </c>
    </row>
    <row r="225" spans="1:4" s="81" customFormat="1" ht="15" customHeight="1" x14ac:dyDescent="0.25">
      <c r="A225" s="103"/>
      <c r="B225" s="413"/>
      <c r="C225" s="414" t="s">
        <v>932</v>
      </c>
      <c r="D225" s="416">
        <v>40.454000000000001</v>
      </c>
    </row>
    <row r="226" spans="1:4" s="81" customFormat="1" ht="15" customHeight="1" x14ac:dyDescent="0.25">
      <c r="A226" s="103"/>
      <c r="B226" s="413" t="s">
        <v>989</v>
      </c>
      <c r="C226" s="414" t="s">
        <v>982</v>
      </c>
      <c r="D226" s="416">
        <v>14.042</v>
      </c>
    </row>
    <row r="227" spans="1:4" s="81" customFormat="1" ht="15" customHeight="1" x14ac:dyDescent="0.25">
      <c r="A227" s="103"/>
      <c r="B227" s="413"/>
      <c r="C227" s="414" t="s">
        <v>990</v>
      </c>
      <c r="D227" s="416">
        <v>21.522000000000002</v>
      </c>
    </row>
    <row r="228" spans="1:4" s="81" customFormat="1" ht="15" customHeight="1" x14ac:dyDescent="0.25">
      <c r="A228" s="103"/>
      <c r="B228" s="413" t="s">
        <v>991</v>
      </c>
      <c r="C228" s="414" t="s">
        <v>992</v>
      </c>
      <c r="D228" s="416">
        <v>202.98899999999998</v>
      </c>
    </row>
    <row r="229" spans="1:4" s="81" customFormat="1" ht="15" customHeight="1" x14ac:dyDescent="0.25">
      <c r="A229" s="103"/>
      <c r="B229" s="413"/>
      <c r="C229" s="414" t="s">
        <v>993</v>
      </c>
      <c r="D229" s="416">
        <v>1372.4899999999991</v>
      </c>
    </row>
    <row r="230" spans="1:4" s="81" customFormat="1" ht="15" customHeight="1" x14ac:dyDescent="0.25">
      <c r="A230" s="103"/>
      <c r="B230" s="413" t="s">
        <v>994</v>
      </c>
      <c r="C230" s="414" t="s">
        <v>995</v>
      </c>
      <c r="D230" s="416">
        <v>2.4539999999999997</v>
      </c>
    </row>
    <row r="231" spans="1:4" s="81" customFormat="1" ht="15" customHeight="1" x14ac:dyDescent="0.25">
      <c r="A231" s="103"/>
      <c r="B231" s="413" t="s">
        <v>996</v>
      </c>
      <c r="C231" s="414" t="s">
        <v>997</v>
      </c>
      <c r="D231" s="416">
        <v>1990.0639999999985</v>
      </c>
    </row>
    <row r="232" spans="1:4" s="81" customFormat="1" x14ac:dyDescent="0.25">
      <c r="A232" s="103"/>
      <c r="B232" s="413"/>
      <c r="C232" s="414" t="s">
        <v>885</v>
      </c>
      <c r="D232" s="416">
        <v>34.039000000000001</v>
      </c>
    </row>
    <row r="233" spans="1:4" s="81" customFormat="1" x14ac:dyDescent="0.25">
      <c r="A233" s="103"/>
      <c r="B233" s="413"/>
      <c r="C233" s="414" t="s">
        <v>859</v>
      </c>
      <c r="D233" s="416">
        <v>143.30899999999997</v>
      </c>
    </row>
    <row r="234" spans="1:4" s="81" customFormat="1" ht="15" customHeight="1" x14ac:dyDescent="0.25">
      <c r="A234" s="103"/>
      <c r="B234" s="413" t="s">
        <v>998</v>
      </c>
      <c r="C234" s="414" t="s">
        <v>999</v>
      </c>
      <c r="D234" s="416">
        <v>6.5819999999999999</v>
      </c>
    </row>
    <row r="235" spans="1:4" s="81" customFormat="1" ht="15" customHeight="1" x14ac:dyDescent="0.25">
      <c r="A235" s="103"/>
      <c r="B235" s="413"/>
      <c r="C235" s="414" t="s">
        <v>1000</v>
      </c>
      <c r="D235" s="416">
        <v>19.103999999999999</v>
      </c>
    </row>
    <row r="236" spans="1:4" s="81" customFormat="1" x14ac:dyDescent="0.25">
      <c r="A236" s="103"/>
      <c r="B236" s="413"/>
      <c r="C236" s="414" t="s">
        <v>1001</v>
      </c>
      <c r="D236" s="416">
        <v>222.17900000000003</v>
      </c>
    </row>
    <row r="237" spans="1:4" s="81" customFormat="1" x14ac:dyDescent="0.25">
      <c r="A237" s="103"/>
      <c r="B237" s="413" t="s">
        <v>1002</v>
      </c>
      <c r="C237" s="414" t="s">
        <v>1003</v>
      </c>
      <c r="D237" s="416">
        <v>7.7670000000000003</v>
      </c>
    </row>
    <row r="238" spans="1:4" s="81" customFormat="1" x14ac:dyDescent="0.25">
      <c r="A238" s="103"/>
      <c r="B238" s="413"/>
      <c r="C238" s="414" t="s">
        <v>999</v>
      </c>
      <c r="D238" s="416">
        <v>32.924999999999997</v>
      </c>
    </row>
    <row r="239" spans="1:4" s="81" customFormat="1" ht="15" customHeight="1" x14ac:dyDescent="0.25">
      <c r="A239" s="103"/>
      <c r="B239" s="413"/>
      <c r="C239" s="414" t="s">
        <v>1000</v>
      </c>
      <c r="D239" s="416">
        <v>13.611000000000001</v>
      </c>
    </row>
    <row r="240" spans="1:4" s="81" customFormat="1" ht="15" customHeight="1" x14ac:dyDescent="0.25">
      <c r="A240" s="103"/>
      <c r="B240" s="413" t="s">
        <v>1004</v>
      </c>
      <c r="C240" s="414" t="s">
        <v>1005</v>
      </c>
      <c r="D240" s="416">
        <v>44.36</v>
      </c>
    </row>
    <row r="241" spans="1:4" s="81" customFormat="1" ht="15" customHeight="1" x14ac:dyDescent="0.25">
      <c r="A241" s="103"/>
      <c r="B241" s="413"/>
      <c r="C241" s="414" t="s">
        <v>1006</v>
      </c>
      <c r="D241" s="416">
        <v>69.332999999999998</v>
      </c>
    </row>
    <row r="242" spans="1:4" s="81" customFormat="1" ht="15" customHeight="1" x14ac:dyDescent="0.25">
      <c r="A242" s="103"/>
      <c r="B242" s="413" t="s">
        <v>1007</v>
      </c>
      <c r="C242" s="414" t="s">
        <v>1008</v>
      </c>
      <c r="D242" s="416">
        <v>325.68899999999996</v>
      </c>
    </row>
    <row r="243" spans="1:4" s="81" customFormat="1" ht="15" customHeight="1" x14ac:dyDescent="0.25">
      <c r="A243" s="103"/>
      <c r="B243" s="413"/>
      <c r="C243" s="414" t="s">
        <v>1009</v>
      </c>
      <c r="D243" s="416">
        <v>353.26099999999997</v>
      </c>
    </row>
    <row r="244" spans="1:4" s="81" customFormat="1" ht="15" customHeight="1" x14ac:dyDescent="0.25">
      <c r="A244" s="103"/>
      <c r="B244" s="413"/>
      <c r="C244" s="414" t="s">
        <v>1010</v>
      </c>
      <c r="D244" s="416">
        <v>10.087999999999999</v>
      </c>
    </row>
    <row r="245" spans="1:4" s="81" customFormat="1" ht="15" customHeight="1" x14ac:dyDescent="0.25">
      <c r="A245" s="103"/>
      <c r="B245" s="413"/>
      <c r="C245" s="414" t="s">
        <v>1011</v>
      </c>
      <c r="D245" s="416">
        <v>561.57100000000014</v>
      </c>
    </row>
    <row r="246" spans="1:4" s="81" customFormat="1" ht="15" customHeight="1" x14ac:dyDescent="0.25">
      <c r="A246" s="103"/>
      <c r="B246" s="413"/>
      <c r="C246" s="414" t="s">
        <v>1012</v>
      </c>
      <c r="D246" s="416">
        <v>21.677</v>
      </c>
    </row>
    <row r="247" spans="1:4" s="81" customFormat="1" ht="15" customHeight="1" x14ac:dyDescent="0.25">
      <c r="A247" s="103"/>
      <c r="B247" s="413" t="s">
        <v>1013</v>
      </c>
      <c r="C247" s="414" t="s">
        <v>1014</v>
      </c>
      <c r="D247" s="416">
        <v>9.0449999999999999</v>
      </c>
    </row>
    <row r="248" spans="1:4" s="81" customFormat="1" ht="15" customHeight="1" x14ac:dyDescent="0.25">
      <c r="A248" s="103"/>
      <c r="B248" s="413" t="s">
        <v>1015</v>
      </c>
      <c r="C248" s="414" t="s">
        <v>1016</v>
      </c>
      <c r="D248" s="416">
        <v>24.422999999999998</v>
      </c>
    </row>
    <row r="249" spans="1:4" s="81" customFormat="1" ht="15" customHeight="1" x14ac:dyDescent="0.25">
      <c r="A249" s="103"/>
      <c r="B249" s="413" t="s">
        <v>1017</v>
      </c>
      <c r="C249" s="414" t="s">
        <v>567</v>
      </c>
      <c r="D249" s="416">
        <v>7.3819999999999997</v>
      </c>
    </row>
    <row r="250" spans="1:4" s="81" customFormat="1" ht="15" customHeight="1" x14ac:dyDescent="0.25">
      <c r="A250" s="103"/>
      <c r="B250" s="413" t="s">
        <v>1018</v>
      </c>
      <c r="C250" s="414" t="s">
        <v>1019</v>
      </c>
      <c r="D250" s="416">
        <v>26.288</v>
      </c>
    </row>
    <row r="251" spans="1:4" s="81" customFormat="1" ht="15" customHeight="1" x14ac:dyDescent="0.25">
      <c r="A251" s="103"/>
      <c r="B251" s="413" t="s">
        <v>1020</v>
      </c>
      <c r="C251" s="414" t="s">
        <v>1021</v>
      </c>
      <c r="D251" s="416">
        <v>91.18</v>
      </c>
    </row>
    <row r="252" spans="1:4" s="81" customFormat="1" x14ac:dyDescent="0.25">
      <c r="A252" s="103"/>
      <c r="B252" s="413"/>
      <c r="C252" s="414" t="s">
        <v>1022</v>
      </c>
      <c r="D252" s="416">
        <v>131.71899999999999</v>
      </c>
    </row>
    <row r="253" spans="1:4" s="81" customFormat="1" x14ac:dyDescent="0.25">
      <c r="A253" s="103"/>
      <c r="B253" s="413"/>
      <c r="C253" s="414" t="s">
        <v>1023</v>
      </c>
      <c r="D253" s="416">
        <v>3.0619999999999998</v>
      </c>
    </row>
    <row r="254" spans="1:4" s="81" customFormat="1" x14ac:dyDescent="0.25">
      <c r="A254" s="103"/>
      <c r="B254" s="413" t="s">
        <v>1024</v>
      </c>
      <c r="C254" s="414" t="s">
        <v>1025</v>
      </c>
      <c r="D254" s="416">
        <v>12.642999999999999</v>
      </c>
    </row>
    <row r="255" spans="1:4" s="81" customFormat="1" ht="15" customHeight="1" x14ac:dyDescent="0.25">
      <c r="A255" s="103"/>
      <c r="B255" s="413" t="s">
        <v>1026</v>
      </c>
      <c r="C255" s="414" t="s">
        <v>1027</v>
      </c>
      <c r="D255" s="416">
        <v>23751.906999999999</v>
      </c>
    </row>
    <row r="256" spans="1:4" s="81" customFormat="1" ht="15" customHeight="1" x14ac:dyDescent="0.25">
      <c r="A256" s="103"/>
      <c r="B256" s="413" t="s">
        <v>1028</v>
      </c>
      <c r="C256" s="414" t="s">
        <v>1029</v>
      </c>
      <c r="D256" s="416">
        <v>127.46599999999999</v>
      </c>
    </row>
    <row r="257" spans="1:4" s="81" customFormat="1" ht="15" customHeight="1" x14ac:dyDescent="0.25">
      <c r="A257" s="103"/>
      <c r="B257" s="413"/>
      <c r="C257" s="414" t="s">
        <v>1030</v>
      </c>
      <c r="D257" s="416">
        <v>55426.881999999947</v>
      </c>
    </row>
    <row r="258" spans="1:4" s="81" customFormat="1" ht="15" customHeight="1" x14ac:dyDescent="0.25">
      <c r="A258" s="103"/>
      <c r="B258" s="413"/>
      <c r="C258" s="414" t="s">
        <v>1031</v>
      </c>
      <c r="D258" s="416">
        <v>31710.970999999983</v>
      </c>
    </row>
    <row r="259" spans="1:4" s="81" customFormat="1" ht="15" customHeight="1" x14ac:dyDescent="0.25">
      <c r="A259" s="103"/>
      <c r="B259" s="413"/>
      <c r="C259" s="414" t="s">
        <v>1032</v>
      </c>
      <c r="D259" s="416">
        <v>2.3479999999999999</v>
      </c>
    </row>
    <row r="260" spans="1:4" s="81" customFormat="1" ht="15" customHeight="1" x14ac:dyDescent="0.25">
      <c r="A260" s="103"/>
      <c r="B260" s="413" t="s">
        <v>1033</v>
      </c>
      <c r="C260" s="414" t="s">
        <v>1031</v>
      </c>
      <c r="D260" s="416">
        <v>162.04899999999998</v>
      </c>
    </row>
    <row r="261" spans="1:4" s="81" customFormat="1" ht="15" customHeight="1" x14ac:dyDescent="0.25">
      <c r="A261" s="103"/>
      <c r="B261" s="413" t="s">
        <v>1034</v>
      </c>
      <c r="C261" s="414" t="s">
        <v>1035</v>
      </c>
      <c r="D261" s="416">
        <v>26.658000000000001</v>
      </c>
    </row>
    <row r="262" spans="1:4" s="81" customFormat="1" ht="15" customHeight="1" x14ac:dyDescent="0.25">
      <c r="A262" s="103"/>
      <c r="B262" s="413"/>
      <c r="C262" s="414" t="s">
        <v>1036</v>
      </c>
      <c r="D262" s="416">
        <v>31.783000000000001</v>
      </c>
    </row>
    <row r="263" spans="1:4" s="81" customFormat="1" x14ac:dyDescent="0.25">
      <c r="A263" s="103"/>
      <c r="B263" s="413"/>
      <c r="C263" s="414" t="s">
        <v>1037</v>
      </c>
      <c r="D263" s="416">
        <v>2171.7300000000005</v>
      </c>
    </row>
    <row r="264" spans="1:4" s="81" customFormat="1" x14ac:dyDescent="0.25">
      <c r="A264" s="103"/>
      <c r="B264" s="413"/>
      <c r="C264" s="414" t="s">
        <v>861</v>
      </c>
      <c r="D264" s="416">
        <v>4020.2069999999985</v>
      </c>
    </row>
    <row r="265" spans="1:4" s="81" customFormat="1" ht="15" customHeight="1" x14ac:dyDescent="0.25">
      <c r="A265" s="103"/>
      <c r="B265" s="413"/>
      <c r="C265" s="414" t="s">
        <v>1038</v>
      </c>
      <c r="D265" s="416">
        <v>5170.3510000000015</v>
      </c>
    </row>
    <row r="266" spans="1:4" s="81" customFormat="1" ht="15" customHeight="1" x14ac:dyDescent="0.25">
      <c r="A266" s="103"/>
      <c r="B266" s="413"/>
      <c r="C266" s="414" t="s">
        <v>1039</v>
      </c>
      <c r="D266" s="416">
        <v>360.54200000000003</v>
      </c>
    </row>
    <row r="267" spans="1:4" s="81" customFormat="1" x14ac:dyDescent="0.25">
      <c r="A267" s="103"/>
      <c r="B267" s="413"/>
      <c r="C267" s="414" t="s">
        <v>1040</v>
      </c>
      <c r="D267" s="416">
        <v>875.14899999999977</v>
      </c>
    </row>
    <row r="268" spans="1:4" s="81" customFormat="1" ht="15" customHeight="1" x14ac:dyDescent="0.25">
      <c r="A268" s="103"/>
      <c r="B268" s="413"/>
      <c r="C268" s="414" t="s">
        <v>1041</v>
      </c>
      <c r="D268" s="416">
        <v>7346.380000000001</v>
      </c>
    </row>
    <row r="269" spans="1:4" s="81" customFormat="1" ht="15" customHeight="1" x14ac:dyDescent="0.25">
      <c r="A269" s="103"/>
      <c r="B269" s="413"/>
      <c r="C269" s="414" t="s">
        <v>1042</v>
      </c>
      <c r="D269" s="416">
        <v>17.968999999999998</v>
      </c>
    </row>
    <row r="270" spans="1:4" s="81" customFormat="1" ht="15" customHeight="1" x14ac:dyDescent="0.25">
      <c r="A270" s="103"/>
      <c r="B270" s="413"/>
      <c r="C270" s="414" t="s">
        <v>1043</v>
      </c>
      <c r="D270" s="416">
        <v>443.76</v>
      </c>
    </row>
    <row r="271" spans="1:4" s="81" customFormat="1" ht="15" customHeight="1" x14ac:dyDescent="0.25">
      <c r="A271" s="103"/>
      <c r="B271" s="413"/>
      <c r="C271" s="414" t="s">
        <v>1044</v>
      </c>
      <c r="D271" s="416">
        <v>7246.532000000002</v>
      </c>
    </row>
    <row r="272" spans="1:4" s="81" customFormat="1" ht="15" customHeight="1" x14ac:dyDescent="0.25">
      <c r="A272" s="103"/>
      <c r="B272" s="413"/>
      <c r="C272" s="414" t="s">
        <v>1045</v>
      </c>
      <c r="D272" s="416">
        <v>45.184000000000005</v>
      </c>
    </row>
    <row r="273" spans="1:4" s="81" customFormat="1" x14ac:dyDescent="0.25">
      <c r="A273" s="103"/>
      <c r="B273" s="413"/>
      <c r="C273" s="414" t="s">
        <v>928</v>
      </c>
      <c r="D273" s="416">
        <v>13.966000000000001</v>
      </c>
    </row>
    <row r="274" spans="1:4" s="81" customFormat="1" x14ac:dyDescent="0.25">
      <c r="A274" s="103"/>
      <c r="B274" s="413" t="s">
        <v>1046</v>
      </c>
      <c r="C274" s="414" t="s">
        <v>926</v>
      </c>
      <c r="D274" s="416">
        <v>11.132000000000001</v>
      </c>
    </row>
    <row r="275" spans="1:4" s="81" customFormat="1" ht="15" customHeight="1" x14ac:dyDescent="0.25">
      <c r="A275" s="103"/>
      <c r="B275" s="413"/>
      <c r="C275" s="414" t="s">
        <v>1047</v>
      </c>
      <c r="D275" s="416">
        <v>3.8969999999999998</v>
      </c>
    </row>
    <row r="276" spans="1:4" s="81" customFormat="1" ht="15" customHeight="1" x14ac:dyDescent="0.25">
      <c r="A276" s="103"/>
      <c r="B276" s="413" t="s">
        <v>1048</v>
      </c>
      <c r="C276" s="414" t="s">
        <v>1049</v>
      </c>
      <c r="D276" s="416">
        <v>98.200000000000017</v>
      </c>
    </row>
    <row r="277" spans="1:4" s="81" customFormat="1" x14ac:dyDescent="0.25">
      <c r="A277" s="103"/>
      <c r="B277" s="413" t="s">
        <v>1050</v>
      </c>
      <c r="C277" s="414" t="s">
        <v>1051</v>
      </c>
      <c r="D277" s="416">
        <v>25.352</v>
      </c>
    </row>
    <row r="278" spans="1:4" s="81" customFormat="1" ht="15" customHeight="1" x14ac:dyDescent="0.25">
      <c r="A278" s="103"/>
      <c r="B278" s="413"/>
      <c r="C278" s="414" t="s">
        <v>1052</v>
      </c>
      <c r="D278" s="416">
        <v>10.544</v>
      </c>
    </row>
    <row r="279" spans="1:4" s="81" customFormat="1" ht="15" customHeight="1" x14ac:dyDescent="0.25">
      <c r="A279" s="103"/>
      <c r="B279" s="413" t="s">
        <v>1053</v>
      </c>
      <c r="C279" s="414" t="s">
        <v>1054</v>
      </c>
      <c r="D279" s="416">
        <v>60.293999999999997</v>
      </c>
    </row>
    <row r="280" spans="1:4" s="81" customFormat="1" x14ac:dyDescent="0.25">
      <c r="A280" s="103"/>
      <c r="B280" s="413"/>
      <c r="C280" s="414" t="s">
        <v>1055</v>
      </c>
      <c r="D280" s="416">
        <v>1794.0609999999997</v>
      </c>
    </row>
    <row r="281" spans="1:4" s="81" customFormat="1" x14ac:dyDescent="0.25">
      <c r="A281" s="103"/>
      <c r="B281" s="413"/>
      <c r="C281" s="414" t="s">
        <v>1056</v>
      </c>
      <c r="D281" s="416">
        <v>1242.3340000000001</v>
      </c>
    </row>
    <row r="282" spans="1:4" s="81" customFormat="1" x14ac:dyDescent="0.25">
      <c r="A282" s="103"/>
      <c r="B282" s="413"/>
      <c r="C282" s="414" t="s">
        <v>1057</v>
      </c>
      <c r="D282" s="416">
        <v>1072.865</v>
      </c>
    </row>
    <row r="283" spans="1:4" s="81" customFormat="1" ht="15" customHeight="1" x14ac:dyDescent="0.25">
      <c r="A283" s="103"/>
      <c r="B283" s="413" t="s">
        <v>1058</v>
      </c>
      <c r="C283" s="414" t="s">
        <v>1059</v>
      </c>
      <c r="D283" s="416">
        <v>156.08999999999997</v>
      </c>
    </row>
    <row r="284" spans="1:4" s="81" customFormat="1" ht="15" customHeight="1" x14ac:dyDescent="0.25">
      <c r="A284" s="103"/>
      <c r="B284" s="413"/>
      <c r="C284" s="414" t="s">
        <v>1060</v>
      </c>
      <c r="D284" s="416">
        <v>620.18999999999983</v>
      </c>
    </row>
    <row r="285" spans="1:4" s="81" customFormat="1" x14ac:dyDescent="0.25">
      <c r="A285" s="103"/>
      <c r="B285" s="413"/>
      <c r="C285" s="414" t="s">
        <v>1061</v>
      </c>
      <c r="D285" s="416">
        <v>52.582000000000001</v>
      </c>
    </row>
    <row r="286" spans="1:4" s="81" customFormat="1" x14ac:dyDescent="0.25">
      <c r="A286" s="103"/>
      <c r="B286" s="413"/>
      <c r="C286" s="414" t="s">
        <v>1062</v>
      </c>
      <c r="D286" s="416">
        <v>7.8049999999999997</v>
      </c>
    </row>
    <row r="287" spans="1:4" s="81" customFormat="1" ht="15" customHeight="1" x14ac:dyDescent="0.25">
      <c r="A287" s="103"/>
      <c r="B287" s="413"/>
      <c r="C287" s="414" t="s">
        <v>1063</v>
      </c>
      <c r="D287" s="416">
        <v>113.68599999999999</v>
      </c>
    </row>
    <row r="288" spans="1:4" s="81" customFormat="1" x14ac:dyDescent="0.25">
      <c r="A288" s="103"/>
      <c r="B288" s="413"/>
      <c r="C288" s="414" t="s">
        <v>787</v>
      </c>
      <c r="D288" s="416">
        <v>610.17999999999995</v>
      </c>
    </row>
    <row r="289" spans="1:4" s="81" customFormat="1" ht="15" customHeight="1" x14ac:dyDescent="0.25">
      <c r="A289" s="103"/>
      <c r="B289" s="413"/>
      <c r="C289" s="414" t="s">
        <v>788</v>
      </c>
      <c r="D289" s="416">
        <v>11840.313000000002</v>
      </c>
    </row>
    <row r="290" spans="1:4" s="81" customFormat="1" ht="15" customHeight="1" x14ac:dyDescent="0.25">
      <c r="A290" s="103"/>
      <c r="B290" s="413"/>
      <c r="C290" s="414" t="s">
        <v>790</v>
      </c>
      <c r="D290" s="416">
        <v>4078.6529999999993</v>
      </c>
    </row>
    <row r="291" spans="1:4" s="81" customFormat="1" x14ac:dyDescent="0.25">
      <c r="A291" s="103"/>
      <c r="B291" s="413"/>
      <c r="C291" s="414" t="s">
        <v>844</v>
      </c>
      <c r="D291" s="416">
        <v>856.60699999999974</v>
      </c>
    </row>
    <row r="292" spans="1:4" s="81" customFormat="1" ht="15" customHeight="1" x14ac:dyDescent="0.25">
      <c r="A292" s="103"/>
      <c r="B292" s="413"/>
      <c r="C292" s="414" t="s">
        <v>1064</v>
      </c>
      <c r="D292" s="416">
        <v>0.74099999999999999</v>
      </c>
    </row>
    <row r="293" spans="1:4" s="81" customFormat="1" x14ac:dyDescent="0.25">
      <c r="A293" s="103"/>
      <c r="B293" s="413"/>
      <c r="C293" s="414" t="s">
        <v>944</v>
      </c>
      <c r="D293" s="416">
        <v>181.58699999999996</v>
      </c>
    </row>
    <row r="294" spans="1:4" s="81" customFormat="1" x14ac:dyDescent="0.25">
      <c r="A294" s="103"/>
      <c r="B294" s="413"/>
      <c r="C294" s="414" t="s">
        <v>848</v>
      </c>
      <c r="D294" s="416">
        <v>434.21199999999999</v>
      </c>
    </row>
    <row r="295" spans="1:4" s="81" customFormat="1" x14ac:dyDescent="0.25">
      <c r="A295" s="103"/>
      <c r="B295" s="413"/>
      <c r="C295" s="414" t="s">
        <v>1065</v>
      </c>
      <c r="D295" s="416">
        <v>7703.3940000000057</v>
      </c>
    </row>
    <row r="296" spans="1:4" s="81" customFormat="1" x14ac:dyDescent="0.25">
      <c r="A296" s="103"/>
      <c r="B296" s="413"/>
      <c r="C296" s="414" t="s">
        <v>849</v>
      </c>
      <c r="D296" s="416">
        <v>6335.8339999999953</v>
      </c>
    </row>
    <row r="297" spans="1:4" s="81" customFormat="1" x14ac:dyDescent="0.25">
      <c r="A297" s="103"/>
      <c r="B297" s="413"/>
      <c r="C297" s="414" t="s">
        <v>850</v>
      </c>
      <c r="D297" s="416">
        <v>30.920999999999999</v>
      </c>
    </row>
    <row r="298" spans="1:4" s="81" customFormat="1" x14ac:dyDescent="0.25">
      <c r="A298" s="103"/>
      <c r="B298" s="413" t="s">
        <v>1066</v>
      </c>
      <c r="C298" s="414" t="s">
        <v>1067</v>
      </c>
      <c r="D298" s="416">
        <v>5.5250000000000004</v>
      </c>
    </row>
    <row r="299" spans="1:4" s="81" customFormat="1" ht="15" customHeight="1" x14ac:dyDescent="0.25">
      <c r="A299" s="103"/>
      <c r="B299" s="413" t="s">
        <v>1068</v>
      </c>
      <c r="C299" s="414" t="s">
        <v>844</v>
      </c>
      <c r="D299" s="416">
        <v>25.209000000000003</v>
      </c>
    </row>
    <row r="300" spans="1:4" s="81" customFormat="1" ht="15" customHeight="1" x14ac:dyDescent="0.25">
      <c r="A300" s="103"/>
      <c r="B300" s="413" t="s">
        <v>1069</v>
      </c>
      <c r="C300" s="414" t="s">
        <v>1070</v>
      </c>
      <c r="D300" s="416">
        <v>5.5270000000000001</v>
      </c>
    </row>
    <row r="301" spans="1:4" s="81" customFormat="1" ht="15" customHeight="1" x14ac:dyDescent="0.25">
      <c r="A301" s="103"/>
      <c r="B301" s="413"/>
      <c r="C301" s="414" t="s">
        <v>1067</v>
      </c>
      <c r="D301" s="416">
        <v>210.13700000000003</v>
      </c>
    </row>
    <row r="302" spans="1:4" s="81" customFormat="1" x14ac:dyDescent="0.25">
      <c r="A302" s="103"/>
      <c r="B302" s="413"/>
      <c r="C302" s="414" t="s">
        <v>790</v>
      </c>
      <c r="D302" s="416">
        <v>93.650999999999982</v>
      </c>
    </row>
    <row r="303" spans="1:4" s="81" customFormat="1" x14ac:dyDescent="0.25">
      <c r="A303" s="103"/>
      <c r="B303" s="413"/>
      <c r="C303" s="414" t="s">
        <v>844</v>
      </c>
      <c r="D303" s="416">
        <v>174.06400000000008</v>
      </c>
    </row>
    <row r="304" spans="1:4" s="81" customFormat="1" ht="15" customHeight="1" x14ac:dyDescent="0.25">
      <c r="A304" s="103"/>
      <c r="B304" s="413"/>
      <c r="C304" s="414" t="s">
        <v>1064</v>
      </c>
      <c r="D304" s="416">
        <v>24.356000000000002</v>
      </c>
    </row>
    <row r="305" spans="1:4" s="81" customFormat="1" x14ac:dyDescent="0.25">
      <c r="A305" s="103"/>
      <c r="B305" s="413"/>
      <c r="C305" s="414" t="s">
        <v>944</v>
      </c>
      <c r="D305" s="416">
        <v>1120.6379999999997</v>
      </c>
    </row>
    <row r="306" spans="1:4" s="81" customFormat="1" x14ac:dyDescent="0.25">
      <c r="A306" s="103"/>
      <c r="B306" s="413"/>
      <c r="C306" s="414" t="s">
        <v>846</v>
      </c>
      <c r="D306" s="416">
        <v>115.05200000000001</v>
      </c>
    </row>
    <row r="307" spans="1:4" s="81" customFormat="1" x14ac:dyDescent="0.25">
      <c r="A307" s="103"/>
      <c r="B307" s="413"/>
      <c r="C307" s="414" t="s">
        <v>1071</v>
      </c>
      <c r="D307" s="416">
        <v>128.36599999999999</v>
      </c>
    </row>
    <row r="308" spans="1:4" s="81" customFormat="1" x14ac:dyDescent="0.25">
      <c r="A308" s="103"/>
      <c r="B308" s="413"/>
      <c r="C308" s="414" t="s">
        <v>847</v>
      </c>
      <c r="D308" s="416">
        <v>32.552</v>
      </c>
    </row>
    <row r="309" spans="1:4" s="81" customFormat="1" ht="15" customHeight="1" x14ac:dyDescent="0.25">
      <c r="A309" s="103"/>
      <c r="B309" s="413"/>
      <c r="C309" s="414" t="s">
        <v>850</v>
      </c>
      <c r="D309" s="416">
        <v>105.79700000000001</v>
      </c>
    </row>
    <row r="310" spans="1:4" s="81" customFormat="1" x14ac:dyDescent="0.25">
      <c r="A310" s="103"/>
      <c r="B310" s="413" t="s">
        <v>1072</v>
      </c>
      <c r="C310" s="414" t="s">
        <v>850</v>
      </c>
      <c r="D310" s="416">
        <v>28.715999999999994</v>
      </c>
    </row>
    <row r="311" spans="1:4" s="81" customFormat="1" x14ac:dyDescent="0.25">
      <c r="A311" s="103"/>
      <c r="B311" s="413" t="s">
        <v>1073</v>
      </c>
      <c r="C311" s="414" t="s">
        <v>850</v>
      </c>
      <c r="D311" s="416">
        <v>14.855999999999998</v>
      </c>
    </row>
    <row r="312" spans="1:4" s="81" customFormat="1" x14ac:dyDescent="0.25">
      <c r="A312" s="103"/>
      <c r="B312" s="413" t="s">
        <v>1074</v>
      </c>
      <c r="C312" s="414" t="s">
        <v>1075</v>
      </c>
      <c r="D312" s="416">
        <v>7.13</v>
      </c>
    </row>
    <row r="313" spans="1:4" s="81" customFormat="1" ht="15" customHeight="1" x14ac:dyDescent="0.25">
      <c r="A313" s="103"/>
      <c r="B313" s="413"/>
      <c r="C313" s="414" t="s">
        <v>790</v>
      </c>
      <c r="D313" s="416">
        <v>1080.308</v>
      </c>
    </row>
    <row r="314" spans="1:4" s="81" customFormat="1" ht="15" customHeight="1" x14ac:dyDescent="0.25">
      <c r="A314" s="103"/>
      <c r="B314" s="413"/>
      <c r="C314" s="414" t="s">
        <v>848</v>
      </c>
      <c r="D314" s="416">
        <v>628.33600000000001</v>
      </c>
    </row>
    <row r="315" spans="1:4" s="81" customFormat="1" ht="15" customHeight="1" x14ac:dyDescent="0.25">
      <c r="A315" s="103"/>
      <c r="B315" s="413"/>
      <c r="C315" s="414" t="s">
        <v>850</v>
      </c>
      <c r="D315" s="416">
        <v>49.512</v>
      </c>
    </row>
    <row r="316" spans="1:4" s="81" customFormat="1" ht="15" customHeight="1" x14ac:dyDescent="0.25">
      <c r="A316" s="103"/>
      <c r="B316" s="413" t="s">
        <v>1076</v>
      </c>
      <c r="C316" s="414" t="s">
        <v>1077</v>
      </c>
      <c r="D316" s="416">
        <v>117.898</v>
      </c>
    </row>
    <row r="317" spans="1:4" s="81" customFormat="1" x14ac:dyDescent="0.25">
      <c r="A317" s="103"/>
      <c r="B317" s="413"/>
      <c r="C317" s="414" t="s">
        <v>1078</v>
      </c>
      <c r="D317" s="416">
        <v>300.29500000000007</v>
      </c>
    </row>
    <row r="318" spans="1:4" s="81" customFormat="1" ht="15" customHeight="1" x14ac:dyDescent="0.25">
      <c r="A318" s="103"/>
      <c r="B318" s="413"/>
      <c r="C318" s="414" t="s">
        <v>1061</v>
      </c>
      <c r="D318" s="416">
        <v>48.007999999999996</v>
      </c>
    </row>
    <row r="319" spans="1:4" s="81" customFormat="1" x14ac:dyDescent="0.25">
      <c r="A319" s="103"/>
      <c r="B319" s="413"/>
      <c r="C319" s="414" t="s">
        <v>1079</v>
      </c>
      <c r="D319" s="416">
        <v>760.94399999999996</v>
      </c>
    </row>
    <row r="320" spans="1:4" s="81" customFormat="1" ht="15" customHeight="1" x14ac:dyDescent="0.25">
      <c r="A320" s="103"/>
      <c r="B320" s="413"/>
      <c r="C320" s="414" t="s">
        <v>788</v>
      </c>
      <c r="D320" s="416">
        <v>668.33399999999995</v>
      </c>
    </row>
    <row r="321" spans="1:6" s="81" customFormat="1" x14ac:dyDescent="0.25">
      <c r="A321" s="103"/>
      <c r="B321" s="413"/>
      <c r="C321" s="414" t="s">
        <v>844</v>
      </c>
      <c r="D321" s="416">
        <v>10.297000000000001</v>
      </c>
    </row>
    <row r="322" spans="1:6" s="81" customFormat="1" x14ac:dyDescent="0.25">
      <c r="A322" s="103"/>
      <c r="B322" s="413"/>
      <c r="C322" s="414" t="s">
        <v>1064</v>
      </c>
      <c r="D322" s="416">
        <v>251.99299999999999</v>
      </c>
    </row>
    <row r="323" spans="1:6" s="81" customFormat="1" x14ac:dyDescent="0.25">
      <c r="A323" s="103"/>
      <c r="B323" s="413"/>
      <c r="C323" s="414" t="s">
        <v>848</v>
      </c>
      <c r="D323" s="416">
        <v>87.22</v>
      </c>
    </row>
    <row r="324" spans="1:6" s="81" customFormat="1" x14ac:dyDescent="0.25">
      <c r="A324" s="103"/>
      <c r="B324" s="413" t="s">
        <v>1080</v>
      </c>
      <c r="C324" s="414" t="s">
        <v>1067</v>
      </c>
      <c r="D324" s="416">
        <v>2133.9949999999999</v>
      </c>
    </row>
    <row r="325" spans="1:6" s="81" customFormat="1" ht="15" customHeight="1" x14ac:dyDescent="0.25">
      <c r="A325" s="103"/>
      <c r="B325" s="413" t="s">
        <v>1081</v>
      </c>
      <c r="C325" s="414" t="s">
        <v>1082</v>
      </c>
      <c r="D325" s="416">
        <v>55.696000000000005</v>
      </c>
    </row>
    <row r="326" spans="1:6" s="81" customFormat="1" ht="15" customHeight="1" x14ac:dyDescent="0.25">
      <c r="A326" s="103"/>
      <c r="B326" s="413"/>
      <c r="C326" s="414" t="s">
        <v>847</v>
      </c>
      <c r="D326" s="416">
        <v>1.35</v>
      </c>
      <c r="F326" s="82"/>
    </row>
    <row r="327" spans="1:6" s="81" customFormat="1" x14ac:dyDescent="0.25">
      <c r="A327" s="103"/>
      <c r="B327" s="413" t="s">
        <v>1083</v>
      </c>
      <c r="C327" s="414" t="s">
        <v>1061</v>
      </c>
      <c r="D327" s="416">
        <v>9367.7760000000017</v>
      </c>
    </row>
    <row r="328" spans="1:6" s="81" customFormat="1" x14ac:dyDescent="0.25">
      <c r="A328" s="103"/>
      <c r="B328" s="413"/>
      <c r="C328" s="414" t="s">
        <v>1079</v>
      </c>
      <c r="D328" s="416">
        <v>30.045000000000002</v>
      </c>
    </row>
    <row r="329" spans="1:6" s="81" customFormat="1" x14ac:dyDescent="0.25">
      <c r="A329" s="103"/>
      <c r="B329" s="413"/>
      <c r="C329" s="414" t="s">
        <v>788</v>
      </c>
      <c r="D329" s="416">
        <v>20.870999999999999</v>
      </c>
    </row>
    <row r="330" spans="1:6" s="81" customFormat="1" x14ac:dyDescent="0.25">
      <c r="A330" s="103"/>
      <c r="B330" s="413" t="s">
        <v>1084</v>
      </c>
      <c r="C330" s="414" t="s">
        <v>849</v>
      </c>
      <c r="D330" s="416">
        <v>29.902000000000001</v>
      </c>
    </row>
    <row r="331" spans="1:6" s="81" customFormat="1" ht="15" customHeight="1" x14ac:dyDescent="0.25">
      <c r="A331" s="103"/>
      <c r="B331" s="413" t="s">
        <v>1085</v>
      </c>
      <c r="C331" s="414" t="s">
        <v>1086</v>
      </c>
      <c r="D331" s="416">
        <v>8.968</v>
      </c>
    </row>
    <row r="332" spans="1:6" s="81" customFormat="1" ht="15" customHeight="1" x14ac:dyDescent="0.25">
      <c r="A332" s="103"/>
      <c r="B332" s="413" t="s">
        <v>1087</v>
      </c>
      <c r="C332" s="414" t="s">
        <v>1088</v>
      </c>
      <c r="D332" s="416">
        <v>36.366</v>
      </c>
    </row>
    <row r="333" spans="1:6" s="81" customFormat="1" x14ac:dyDescent="0.25">
      <c r="A333" s="103"/>
      <c r="B333" s="413" t="s">
        <v>1089</v>
      </c>
      <c r="C333" s="414" t="s">
        <v>1090</v>
      </c>
      <c r="D333" s="416">
        <v>21944.710000000028</v>
      </c>
    </row>
    <row r="334" spans="1:6" s="81" customFormat="1" ht="15" customHeight="1" x14ac:dyDescent="0.25">
      <c r="A334" s="103"/>
      <c r="B334" s="413"/>
      <c r="C334" s="414" t="s">
        <v>1091</v>
      </c>
      <c r="D334" s="416">
        <v>154.364</v>
      </c>
    </row>
    <row r="335" spans="1:6" s="81" customFormat="1" x14ac:dyDescent="0.25">
      <c r="A335" s="103"/>
      <c r="B335" s="413" t="s">
        <v>1092</v>
      </c>
      <c r="C335" s="414" t="s">
        <v>1093</v>
      </c>
      <c r="D335" s="416">
        <v>322.86699999999996</v>
      </c>
    </row>
    <row r="336" spans="1:6" s="81" customFormat="1" x14ac:dyDescent="0.25">
      <c r="A336" s="103"/>
      <c r="B336" s="413"/>
      <c r="C336" s="414" t="s">
        <v>1094</v>
      </c>
      <c r="D336" s="416">
        <v>949.96400000000006</v>
      </c>
    </row>
    <row r="337" spans="1:4" s="81" customFormat="1" x14ac:dyDescent="0.25">
      <c r="A337" s="103"/>
      <c r="B337" s="413"/>
      <c r="C337" s="414" t="s">
        <v>1095</v>
      </c>
      <c r="D337" s="416">
        <v>1748.0019999999997</v>
      </c>
    </row>
    <row r="338" spans="1:4" s="81" customFormat="1" ht="15" customHeight="1" x14ac:dyDescent="0.25">
      <c r="A338" s="103"/>
      <c r="B338" s="413"/>
      <c r="C338" s="414" t="s">
        <v>1096</v>
      </c>
      <c r="D338" s="416">
        <v>56.111000000000004</v>
      </c>
    </row>
    <row r="339" spans="1:4" s="81" customFormat="1" ht="15" customHeight="1" x14ac:dyDescent="0.25">
      <c r="A339" s="103"/>
      <c r="B339" s="413"/>
      <c r="C339" s="414" t="s">
        <v>1097</v>
      </c>
      <c r="D339" s="416">
        <v>31.274999999999999</v>
      </c>
    </row>
    <row r="340" spans="1:4" s="81" customFormat="1" x14ac:dyDescent="0.25">
      <c r="A340" s="103"/>
      <c r="B340" s="413"/>
      <c r="C340" s="414" t="s">
        <v>1098</v>
      </c>
      <c r="D340" s="416">
        <v>38.408999999999999</v>
      </c>
    </row>
    <row r="341" spans="1:4" s="81" customFormat="1" x14ac:dyDescent="0.25">
      <c r="A341" s="103"/>
      <c r="B341" s="413" t="s">
        <v>1099</v>
      </c>
      <c r="C341" s="414" t="s">
        <v>1100</v>
      </c>
      <c r="D341" s="416">
        <v>18.04</v>
      </c>
    </row>
    <row r="342" spans="1:4" s="81" customFormat="1" x14ac:dyDescent="0.25">
      <c r="A342" s="103"/>
      <c r="B342" s="413"/>
      <c r="C342" s="414" t="s">
        <v>1101</v>
      </c>
      <c r="D342" s="416">
        <v>178.72000000000006</v>
      </c>
    </row>
    <row r="343" spans="1:4" s="81" customFormat="1" ht="15" customHeight="1" x14ac:dyDescent="0.25">
      <c r="A343" s="103"/>
      <c r="B343" s="413" t="s">
        <v>1102</v>
      </c>
      <c r="C343" s="414" t="s">
        <v>1067</v>
      </c>
      <c r="D343" s="416">
        <v>14864.587000000009</v>
      </c>
    </row>
    <row r="344" spans="1:4" s="81" customFormat="1" x14ac:dyDescent="0.25">
      <c r="A344" s="103"/>
      <c r="B344" s="413"/>
      <c r="C344" s="414" t="s">
        <v>787</v>
      </c>
      <c r="D344" s="416">
        <v>1803.1869999999999</v>
      </c>
    </row>
    <row r="345" spans="1:4" s="81" customFormat="1" ht="15" customHeight="1" x14ac:dyDescent="0.25">
      <c r="A345" s="103"/>
      <c r="B345" s="413"/>
      <c r="C345" s="414" t="s">
        <v>788</v>
      </c>
      <c r="D345" s="416">
        <v>405.96100000000001</v>
      </c>
    </row>
    <row r="346" spans="1:4" s="81" customFormat="1" x14ac:dyDescent="0.25">
      <c r="A346" s="103"/>
      <c r="B346" s="413" t="s">
        <v>1103</v>
      </c>
      <c r="C346" s="414" t="s">
        <v>1104</v>
      </c>
      <c r="D346" s="416">
        <v>6.86</v>
      </c>
    </row>
    <row r="347" spans="1:4" s="81" customFormat="1" x14ac:dyDescent="0.25">
      <c r="A347" s="103"/>
      <c r="B347" s="413" t="s">
        <v>1105</v>
      </c>
      <c r="C347" s="414" t="s">
        <v>1106</v>
      </c>
      <c r="D347" s="416">
        <v>0.38400000000000001</v>
      </c>
    </row>
    <row r="348" spans="1:4" s="81" customFormat="1" ht="15" customHeight="1" x14ac:dyDescent="0.25">
      <c r="A348" s="103"/>
      <c r="B348" s="413" t="s">
        <v>1107</v>
      </c>
      <c r="C348" s="414" t="s">
        <v>1108</v>
      </c>
      <c r="D348" s="416">
        <v>503.23200000000003</v>
      </c>
    </row>
    <row r="349" spans="1:4" s="81" customFormat="1" x14ac:dyDescent="0.25">
      <c r="A349" s="103"/>
      <c r="B349" s="413"/>
      <c r="C349" s="414" t="s">
        <v>1109</v>
      </c>
      <c r="D349" s="416">
        <v>993.5540000000002</v>
      </c>
    </row>
    <row r="350" spans="1:4" s="81" customFormat="1" x14ac:dyDescent="0.25">
      <c r="A350" s="103"/>
      <c r="B350" s="413" t="s">
        <v>1110</v>
      </c>
      <c r="C350" s="414" t="s">
        <v>1109</v>
      </c>
      <c r="D350" s="416">
        <v>9.6069999999999993</v>
      </c>
    </row>
    <row r="351" spans="1:4" s="81" customFormat="1" x14ac:dyDescent="0.25">
      <c r="A351" s="103"/>
      <c r="B351" s="413" t="s">
        <v>1111</v>
      </c>
      <c r="C351" s="414" t="s">
        <v>1112</v>
      </c>
      <c r="D351" s="416">
        <v>0.40100000000000002</v>
      </c>
    </row>
    <row r="352" spans="1:4" s="81" customFormat="1" ht="15" customHeight="1" x14ac:dyDescent="0.25">
      <c r="A352" s="103"/>
      <c r="B352" s="413" t="s">
        <v>1113</v>
      </c>
      <c r="C352" s="414" t="s">
        <v>1114</v>
      </c>
      <c r="D352" s="416">
        <v>59.800999999999995</v>
      </c>
    </row>
    <row r="353" spans="1:4" s="81" customFormat="1" ht="15" customHeight="1" x14ac:dyDescent="0.25">
      <c r="A353" s="103"/>
      <c r="B353" s="413"/>
      <c r="C353" s="414" t="s">
        <v>1115</v>
      </c>
      <c r="D353" s="416">
        <v>564.65800000000013</v>
      </c>
    </row>
    <row r="354" spans="1:4" s="81" customFormat="1" ht="15" customHeight="1" x14ac:dyDescent="0.25">
      <c r="A354" s="103"/>
      <c r="B354" s="413" t="s">
        <v>1116</v>
      </c>
      <c r="C354" s="414" t="s">
        <v>1114</v>
      </c>
      <c r="D354" s="416">
        <v>100.202</v>
      </c>
    </row>
    <row r="355" spans="1:4" s="81" customFormat="1" ht="15" customHeight="1" x14ac:dyDescent="0.25">
      <c r="A355" s="103"/>
      <c r="B355" s="413"/>
      <c r="C355" s="414" t="s">
        <v>1117</v>
      </c>
      <c r="D355" s="416">
        <v>133.26900000000001</v>
      </c>
    </row>
    <row r="356" spans="1:4" s="81" customFormat="1" ht="15" customHeight="1" x14ac:dyDescent="0.25">
      <c r="A356" s="103"/>
      <c r="B356" s="413"/>
      <c r="C356" s="414" t="s">
        <v>1115</v>
      </c>
      <c r="D356" s="416">
        <v>1417.7619999999993</v>
      </c>
    </row>
    <row r="357" spans="1:4" s="81" customFormat="1" x14ac:dyDescent="0.25">
      <c r="A357" s="103"/>
      <c r="B357" s="413" t="s">
        <v>1118</v>
      </c>
      <c r="C357" s="414" t="s">
        <v>1119</v>
      </c>
      <c r="D357" s="416">
        <v>4.7729999999999997</v>
      </c>
    </row>
    <row r="358" spans="1:4" s="81" customFormat="1" ht="15" customHeight="1" x14ac:dyDescent="0.25">
      <c r="A358" s="103"/>
      <c r="B358" s="413" t="s">
        <v>1120</v>
      </c>
      <c r="C358" s="414" t="s">
        <v>1121</v>
      </c>
      <c r="D358" s="416">
        <v>60.954000000000001</v>
      </c>
    </row>
    <row r="359" spans="1:4" s="81" customFormat="1" x14ac:dyDescent="0.25">
      <c r="A359" s="103"/>
      <c r="B359" s="413"/>
      <c r="C359" s="414" t="s">
        <v>1122</v>
      </c>
      <c r="D359" s="416">
        <v>3708.0549999999989</v>
      </c>
    </row>
    <row r="360" spans="1:4" s="81" customFormat="1" x14ac:dyDescent="0.25">
      <c r="A360" s="103"/>
      <c r="B360" s="413"/>
      <c r="C360" s="414" t="s">
        <v>931</v>
      </c>
      <c r="D360" s="416">
        <v>8101.2869999999957</v>
      </c>
    </row>
    <row r="361" spans="1:4" s="81" customFormat="1" ht="15" customHeight="1" x14ac:dyDescent="0.25">
      <c r="A361" s="103"/>
      <c r="B361" s="413" t="s">
        <v>1123</v>
      </c>
      <c r="C361" s="414" t="s">
        <v>1124</v>
      </c>
      <c r="D361" s="416">
        <v>5.0049999999999999</v>
      </c>
    </row>
    <row r="362" spans="1:4" s="81" customFormat="1" ht="15" customHeight="1" x14ac:dyDescent="0.25">
      <c r="A362" s="103"/>
      <c r="B362" s="413"/>
      <c r="C362" s="414" t="s">
        <v>1109</v>
      </c>
      <c r="D362" s="416">
        <v>693.202</v>
      </c>
    </row>
    <row r="363" spans="1:4" s="81" customFormat="1" x14ac:dyDescent="0.25">
      <c r="A363" s="103"/>
      <c r="B363" s="413" t="s">
        <v>1125</v>
      </c>
      <c r="C363" s="414" t="s">
        <v>1115</v>
      </c>
      <c r="D363" s="416">
        <v>127.696</v>
      </c>
    </row>
    <row r="364" spans="1:4" s="81" customFormat="1" ht="15" customHeight="1" x14ac:dyDescent="0.25">
      <c r="A364" s="103"/>
      <c r="B364" s="413" t="s">
        <v>1126</v>
      </c>
      <c r="C364" s="414" t="s">
        <v>1114</v>
      </c>
      <c r="D364" s="416">
        <v>17.690999999999999</v>
      </c>
    </row>
    <row r="365" spans="1:4" s="81" customFormat="1" x14ac:dyDescent="0.25">
      <c r="A365" s="103"/>
      <c r="B365" s="413"/>
      <c r="C365" s="414" t="s">
        <v>1115</v>
      </c>
      <c r="D365" s="416">
        <v>19.369</v>
      </c>
    </row>
    <row r="366" spans="1:4" s="81" customFormat="1" ht="15" customHeight="1" x14ac:dyDescent="0.25">
      <c r="A366" s="103"/>
      <c r="B366" s="413" t="s">
        <v>1127</v>
      </c>
      <c r="C366" s="414" t="s">
        <v>844</v>
      </c>
      <c r="D366" s="416">
        <v>64.155999999999992</v>
      </c>
    </row>
    <row r="367" spans="1:4" s="81" customFormat="1" ht="15" customHeight="1" x14ac:dyDescent="0.25">
      <c r="A367" s="103"/>
      <c r="B367" s="413" t="s">
        <v>1128</v>
      </c>
      <c r="C367" s="414" t="s">
        <v>1129</v>
      </c>
      <c r="D367" s="416">
        <v>41.90100000000001</v>
      </c>
    </row>
    <row r="368" spans="1:4" s="81" customFormat="1" x14ac:dyDescent="0.25">
      <c r="A368" s="103"/>
      <c r="B368" s="413"/>
      <c r="C368" s="414" t="s">
        <v>1130</v>
      </c>
      <c r="D368" s="416">
        <v>4.0890000000000004</v>
      </c>
    </row>
    <row r="369" spans="1:6" s="81" customFormat="1" x14ac:dyDescent="0.25">
      <c r="A369" s="103"/>
      <c r="B369" s="413"/>
      <c r="C369" s="414" t="s">
        <v>1131</v>
      </c>
      <c r="D369" s="416">
        <v>43.203000000000003</v>
      </c>
    </row>
    <row r="370" spans="1:6" s="81" customFormat="1" ht="15" customHeight="1" x14ac:dyDescent="0.25">
      <c r="A370" s="103"/>
      <c r="B370" s="413"/>
      <c r="C370" s="414" t="s">
        <v>1132</v>
      </c>
      <c r="D370" s="416">
        <v>17.513000000000002</v>
      </c>
    </row>
    <row r="371" spans="1:6" s="81" customFormat="1" ht="15" customHeight="1" x14ac:dyDescent="0.25">
      <c r="A371" s="103"/>
      <c r="B371" s="413" t="s">
        <v>1133</v>
      </c>
      <c r="C371" s="414" t="s">
        <v>1134</v>
      </c>
      <c r="D371" s="416">
        <v>294.0809999999999</v>
      </c>
    </row>
    <row r="372" spans="1:6" s="81" customFormat="1" x14ac:dyDescent="0.25">
      <c r="A372" s="103"/>
      <c r="B372" s="413" t="s">
        <v>1135</v>
      </c>
      <c r="C372" s="414" t="s">
        <v>783</v>
      </c>
      <c r="D372" s="416">
        <v>254.364</v>
      </c>
    </row>
    <row r="373" spans="1:6" s="81" customFormat="1" x14ac:dyDescent="0.25">
      <c r="A373" s="103"/>
      <c r="B373" s="413" t="s">
        <v>1136</v>
      </c>
      <c r="C373" s="414" t="s">
        <v>783</v>
      </c>
      <c r="D373" s="416">
        <v>44.055</v>
      </c>
      <c r="F373" s="82"/>
    </row>
    <row r="374" spans="1:6" s="81" customFormat="1" x14ac:dyDescent="0.25">
      <c r="A374" s="103"/>
      <c r="B374" s="413" t="s">
        <v>1137</v>
      </c>
      <c r="C374" s="414" t="s">
        <v>803</v>
      </c>
      <c r="D374" s="416">
        <v>27.849999999999998</v>
      </c>
      <c r="F374" s="82"/>
    </row>
    <row r="375" spans="1:6" s="81" customFormat="1" x14ac:dyDescent="0.25">
      <c r="A375" s="103"/>
      <c r="B375" s="413" t="s">
        <v>1138</v>
      </c>
      <c r="C375" s="414" t="s">
        <v>1054</v>
      </c>
      <c r="D375" s="416">
        <v>35.43</v>
      </c>
    </row>
    <row r="376" spans="1:6" s="81" customFormat="1" ht="15" customHeight="1" x14ac:dyDescent="0.25">
      <c r="A376" s="103"/>
      <c r="B376" s="413"/>
      <c r="C376" s="414" t="s">
        <v>1139</v>
      </c>
      <c r="D376" s="416">
        <v>625.80100000000016</v>
      </c>
    </row>
    <row r="377" spans="1:6" s="81" customFormat="1" ht="15" customHeight="1" x14ac:dyDescent="0.25">
      <c r="A377" s="103"/>
      <c r="B377" s="413"/>
      <c r="C377" s="414" t="s">
        <v>803</v>
      </c>
      <c r="D377" s="416">
        <v>1866.8560000000002</v>
      </c>
    </row>
    <row r="378" spans="1:6" s="81" customFormat="1" x14ac:dyDescent="0.25">
      <c r="A378" s="103"/>
      <c r="B378" s="413" t="s">
        <v>1140</v>
      </c>
      <c r="C378" s="414" t="s">
        <v>803</v>
      </c>
      <c r="D378" s="416">
        <v>78.981999999999999</v>
      </c>
    </row>
    <row r="379" spans="1:6" s="81" customFormat="1" ht="15" customHeight="1" x14ac:dyDescent="0.25">
      <c r="A379" s="103"/>
      <c r="B379" s="413" t="s">
        <v>1141</v>
      </c>
      <c r="C379" s="414" t="s">
        <v>568</v>
      </c>
      <c r="D379" s="416">
        <v>1.2809999999999999</v>
      </c>
    </row>
    <row r="380" spans="1:6" s="81" customFormat="1" ht="15" customHeight="1" x14ac:dyDescent="0.25">
      <c r="A380" s="103"/>
      <c r="B380" s="413"/>
      <c r="C380" s="414" t="s">
        <v>803</v>
      </c>
      <c r="D380" s="416">
        <v>3.25</v>
      </c>
    </row>
    <row r="381" spans="1:6" s="81" customFormat="1" x14ac:dyDescent="0.25">
      <c r="A381" s="103"/>
      <c r="B381" s="413" t="s">
        <v>1142</v>
      </c>
      <c r="C381" s="414" t="s">
        <v>1143</v>
      </c>
      <c r="D381" s="416">
        <v>84.233000000000004</v>
      </c>
    </row>
    <row r="382" spans="1:6" s="81" customFormat="1" ht="15" customHeight="1" x14ac:dyDescent="0.25">
      <c r="A382" s="103"/>
      <c r="B382" s="413"/>
      <c r="C382" s="414" t="s">
        <v>1055</v>
      </c>
      <c r="D382" s="416">
        <v>2760.2800000000007</v>
      </c>
    </row>
    <row r="383" spans="1:6" s="81" customFormat="1" ht="15" customHeight="1" x14ac:dyDescent="0.25">
      <c r="A383" s="103"/>
      <c r="B383" s="413"/>
      <c r="C383" s="414" t="s">
        <v>1144</v>
      </c>
      <c r="D383" s="416">
        <v>210.19200000000001</v>
      </c>
    </row>
    <row r="384" spans="1:6" s="81" customFormat="1" x14ac:dyDescent="0.25">
      <c r="A384" s="103"/>
      <c r="B384" s="413"/>
      <c r="C384" s="414" t="s">
        <v>1145</v>
      </c>
      <c r="D384" s="416">
        <v>7.1070000000000002</v>
      </c>
    </row>
    <row r="385" spans="1:6" s="81" customFormat="1" x14ac:dyDescent="0.25">
      <c r="A385" s="103"/>
      <c r="B385" s="413" t="s">
        <v>1146</v>
      </c>
      <c r="C385" s="414" t="s">
        <v>1011</v>
      </c>
      <c r="D385" s="416">
        <v>57.945999999999998</v>
      </c>
    </row>
    <row r="386" spans="1:6" s="81" customFormat="1" x14ac:dyDescent="0.25">
      <c r="A386" s="103"/>
      <c r="B386" s="413"/>
      <c r="C386" s="414" t="s">
        <v>1147</v>
      </c>
      <c r="D386" s="416">
        <v>8836.5019999999968</v>
      </c>
      <c r="F386" s="82"/>
    </row>
    <row r="387" spans="1:6" s="81" customFormat="1" ht="15" customHeight="1" x14ac:dyDescent="0.25">
      <c r="A387" s="103"/>
      <c r="B387" s="413"/>
      <c r="C387" s="414" t="s">
        <v>873</v>
      </c>
      <c r="D387" s="416">
        <v>20069.225999999999</v>
      </c>
    </row>
    <row r="388" spans="1:6" s="81" customFormat="1" x14ac:dyDescent="0.25">
      <c r="A388" s="103"/>
      <c r="B388" s="413"/>
      <c r="C388" s="414" t="s">
        <v>1148</v>
      </c>
      <c r="D388" s="416">
        <v>586.90900000000011</v>
      </c>
    </row>
    <row r="389" spans="1:6" s="81" customFormat="1" x14ac:dyDescent="0.25">
      <c r="A389" s="103"/>
      <c r="B389" s="413"/>
      <c r="C389" s="414" t="s">
        <v>1149</v>
      </c>
      <c r="D389" s="416">
        <v>1051.8799999999999</v>
      </c>
    </row>
    <row r="390" spans="1:6" s="81" customFormat="1" x14ac:dyDescent="0.25">
      <c r="A390" s="103"/>
      <c r="B390" s="413"/>
      <c r="C390" s="414" t="s">
        <v>1150</v>
      </c>
      <c r="D390" s="416">
        <v>83.79000000000002</v>
      </c>
    </row>
    <row r="391" spans="1:6" s="81" customFormat="1" ht="15" customHeight="1" x14ac:dyDescent="0.25">
      <c r="A391" s="103"/>
      <c r="B391" s="413"/>
      <c r="C391" s="414" t="s">
        <v>1151</v>
      </c>
      <c r="D391" s="416">
        <v>15318.881999999994</v>
      </c>
    </row>
    <row r="392" spans="1:6" s="81" customFormat="1" ht="15" customHeight="1" x14ac:dyDescent="0.25">
      <c r="A392" s="103"/>
      <c r="B392" s="413" t="s">
        <v>1152</v>
      </c>
      <c r="C392" s="414" t="s">
        <v>1151</v>
      </c>
      <c r="D392" s="416">
        <v>312.41300000000001</v>
      </c>
    </row>
    <row r="393" spans="1:6" s="81" customFormat="1" x14ac:dyDescent="0.25">
      <c r="A393" s="103"/>
      <c r="B393" s="413" t="s">
        <v>1153</v>
      </c>
      <c r="C393" s="414" t="s">
        <v>1151</v>
      </c>
      <c r="D393" s="416">
        <v>24.042999999999999</v>
      </c>
    </row>
    <row r="394" spans="1:6" s="81" customFormat="1" x14ac:dyDescent="0.25">
      <c r="A394" s="103"/>
      <c r="B394" s="413" t="s">
        <v>1154</v>
      </c>
      <c r="C394" s="414" t="s">
        <v>1014</v>
      </c>
      <c r="D394" s="416">
        <v>525.79300000000001</v>
      </c>
    </row>
    <row r="395" spans="1:6" s="81" customFormat="1" ht="15" customHeight="1" x14ac:dyDescent="0.25">
      <c r="A395" s="103"/>
      <c r="B395" s="413" t="s">
        <v>1155</v>
      </c>
      <c r="C395" s="414" t="s">
        <v>1156</v>
      </c>
      <c r="D395" s="416">
        <v>1.5509999999999999</v>
      </c>
    </row>
    <row r="396" spans="1:6" s="81" customFormat="1" ht="15" customHeight="1" x14ac:dyDescent="0.25">
      <c r="A396" s="103"/>
      <c r="B396" s="413"/>
      <c r="C396" s="414" t="s">
        <v>873</v>
      </c>
      <c r="D396" s="416">
        <v>10.382000000000001</v>
      </c>
    </row>
    <row r="397" spans="1:6" s="81" customFormat="1" x14ac:dyDescent="0.25">
      <c r="A397" s="103"/>
      <c r="B397" s="413" t="s">
        <v>1157</v>
      </c>
      <c r="C397" s="414" t="s">
        <v>1147</v>
      </c>
      <c r="D397" s="416">
        <v>589.83600000000001</v>
      </c>
    </row>
    <row r="398" spans="1:6" s="81" customFormat="1" ht="15" customHeight="1" x14ac:dyDescent="0.25">
      <c r="A398" s="103"/>
      <c r="B398" s="413"/>
      <c r="C398" s="414" t="s">
        <v>1151</v>
      </c>
      <c r="D398" s="416">
        <v>1699.0770000000002</v>
      </c>
    </row>
    <row r="399" spans="1:6" s="81" customFormat="1" ht="15" customHeight="1" x14ac:dyDescent="0.25">
      <c r="A399" s="103"/>
      <c r="B399" s="413" t="s">
        <v>1158</v>
      </c>
      <c r="C399" s="414" t="s">
        <v>1011</v>
      </c>
      <c r="D399" s="416">
        <v>820.70100000000002</v>
      </c>
    </row>
    <row r="400" spans="1:6" s="81" customFormat="1" x14ac:dyDescent="0.25">
      <c r="A400" s="103"/>
      <c r="B400" s="413"/>
      <c r="C400" s="414" t="s">
        <v>1148</v>
      </c>
      <c r="D400" s="416">
        <v>27.573000000000004</v>
      </c>
    </row>
    <row r="401" spans="1:4" s="81" customFormat="1" x14ac:dyDescent="0.25">
      <c r="A401" s="103"/>
      <c r="B401" s="413" t="s">
        <v>1159</v>
      </c>
      <c r="C401" s="414" t="s">
        <v>873</v>
      </c>
      <c r="D401" s="416">
        <v>48.432000000000002</v>
      </c>
    </row>
    <row r="402" spans="1:4" s="81" customFormat="1" ht="15" customHeight="1" x14ac:dyDescent="0.25">
      <c r="A402" s="103"/>
      <c r="B402" s="413" t="s">
        <v>1160</v>
      </c>
      <c r="C402" s="414" t="s">
        <v>1161</v>
      </c>
      <c r="D402" s="416">
        <v>4693.1970000000028</v>
      </c>
    </row>
    <row r="403" spans="1:4" s="81" customFormat="1" x14ac:dyDescent="0.25">
      <c r="A403" s="103"/>
      <c r="B403" s="413"/>
      <c r="C403" s="414" t="s">
        <v>1162</v>
      </c>
      <c r="D403" s="416">
        <v>11074.623999999993</v>
      </c>
    </row>
    <row r="404" spans="1:4" s="81" customFormat="1" x14ac:dyDescent="0.25">
      <c r="A404" s="103"/>
      <c r="B404" s="413"/>
      <c r="C404" s="414" t="s">
        <v>1163</v>
      </c>
      <c r="D404" s="416">
        <v>219.572</v>
      </c>
    </row>
    <row r="405" spans="1:4" s="81" customFormat="1" ht="15" customHeight="1" x14ac:dyDescent="0.25">
      <c r="A405" s="103"/>
      <c r="B405" s="413" t="s">
        <v>1164</v>
      </c>
      <c r="C405" s="414" t="s">
        <v>1161</v>
      </c>
      <c r="D405" s="416">
        <v>12.785</v>
      </c>
    </row>
    <row r="406" spans="1:4" s="81" customFormat="1" ht="15" customHeight="1" x14ac:dyDescent="0.25">
      <c r="A406" s="103"/>
      <c r="B406" s="413" t="s">
        <v>1165</v>
      </c>
      <c r="C406" s="414" t="s">
        <v>1162</v>
      </c>
      <c r="D406" s="416">
        <v>107.80600000000001</v>
      </c>
    </row>
    <row r="407" spans="1:4" s="81" customFormat="1" ht="15" customHeight="1" x14ac:dyDescent="0.25">
      <c r="A407" s="103"/>
      <c r="B407" s="413" t="s">
        <v>1166</v>
      </c>
      <c r="C407" s="414" t="s">
        <v>1167</v>
      </c>
      <c r="D407" s="416">
        <v>64.281999999999996</v>
      </c>
    </row>
    <row r="408" spans="1:4" s="81" customFormat="1" ht="15" customHeight="1" x14ac:dyDescent="0.25">
      <c r="A408" s="103"/>
      <c r="B408" s="413"/>
      <c r="C408" s="414" t="s">
        <v>982</v>
      </c>
      <c r="D408" s="416">
        <v>177.947</v>
      </c>
    </row>
    <row r="409" spans="1:4" s="81" customFormat="1" x14ac:dyDescent="0.25">
      <c r="A409" s="103"/>
      <c r="B409" s="413"/>
      <c r="C409" s="414" t="s">
        <v>1168</v>
      </c>
      <c r="D409" s="416">
        <v>67.495000000000005</v>
      </c>
    </row>
    <row r="410" spans="1:4" s="81" customFormat="1" x14ac:dyDescent="0.25">
      <c r="A410" s="103"/>
      <c r="B410" s="413"/>
      <c r="C410" s="414" t="s">
        <v>1169</v>
      </c>
      <c r="D410" s="416">
        <v>1.5249999999999999</v>
      </c>
    </row>
    <row r="411" spans="1:4" s="81" customFormat="1" ht="15" customHeight="1" x14ac:dyDescent="0.25">
      <c r="A411" s="103"/>
      <c r="B411" s="413" t="s">
        <v>1170</v>
      </c>
      <c r="C411" s="414" t="s">
        <v>1171</v>
      </c>
      <c r="D411" s="416">
        <v>12.734</v>
      </c>
    </row>
    <row r="412" spans="1:4" s="81" customFormat="1" ht="15" customHeight="1" x14ac:dyDescent="0.25">
      <c r="A412" s="103"/>
      <c r="B412" s="413" t="s">
        <v>1172</v>
      </c>
      <c r="C412" s="414" t="s">
        <v>1173</v>
      </c>
      <c r="D412" s="416">
        <v>175.733</v>
      </c>
    </row>
    <row r="413" spans="1:4" s="81" customFormat="1" ht="15" customHeight="1" x14ac:dyDescent="0.25">
      <c r="A413" s="103"/>
      <c r="B413" s="413"/>
      <c r="C413" s="414" t="s">
        <v>1174</v>
      </c>
      <c r="D413" s="416">
        <v>5180.2540000000026</v>
      </c>
    </row>
    <row r="414" spans="1:4" s="81" customFormat="1" ht="15" customHeight="1" x14ac:dyDescent="0.25">
      <c r="A414" s="103"/>
      <c r="B414" s="413"/>
      <c r="C414" s="414" t="s">
        <v>1175</v>
      </c>
      <c r="D414" s="416">
        <v>9.7880000000000003</v>
      </c>
    </row>
    <row r="415" spans="1:4" s="81" customFormat="1" ht="15" customHeight="1" x14ac:dyDescent="0.25">
      <c r="A415" s="103"/>
      <c r="B415" s="413"/>
      <c r="C415" s="414" t="s">
        <v>569</v>
      </c>
      <c r="D415" s="416">
        <v>6637.7850000000062</v>
      </c>
    </row>
    <row r="416" spans="1:4" s="81" customFormat="1" ht="15" customHeight="1" x14ac:dyDescent="0.25">
      <c r="A416" s="103"/>
      <c r="B416" s="413"/>
      <c r="C416" s="414" t="s">
        <v>1176</v>
      </c>
      <c r="D416" s="416">
        <v>88.131</v>
      </c>
    </row>
    <row r="417" spans="1:4" s="81" customFormat="1" ht="15" customHeight="1" x14ac:dyDescent="0.25">
      <c r="A417" s="103"/>
      <c r="B417" s="413" t="s">
        <v>1177</v>
      </c>
      <c r="C417" s="414" t="s">
        <v>1011</v>
      </c>
      <c r="D417" s="416">
        <v>10.134</v>
      </c>
    </row>
    <row r="418" spans="1:4" s="81" customFormat="1" ht="15" customHeight="1" x14ac:dyDescent="0.25">
      <c r="A418" s="103"/>
      <c r="B418" s="413"/>
      <c r="C418" s="414" t="s">
        <v>1178</v>
      </c>
      <c r="D418" s="416">
        <v>12.265000000000001</v>
      </c>
    </row>
    <row r="419" spans="1:4" s="81" customFormat="1" ht="15" customHeight="1" x14ac:dyDescent="0.25">
      <c r="A419" s="103"/>
      <c r="B419" s="413" t="s">
        <v>1179</v>
      </c>
      <c r="C419" s="414" t="s">
        <v>1049</v>
      </c>
      <c r="D419" s="416">
        <v>108.38299999999998</v>
      </c>
    </row>
    <row r="420" spans="1:4" s="81" customFormat="1" ht="15" customHeight="1" x14ac:dyDescent="0.25">
      <c r="A420" s="103"/>
      <c r="B420" s="413" t="s">
        <v>1180</v>
      </c>
      <c r="C420" s="414" t="s">
        <v>1181</v>
      </c>
      <c r="D420" s="416">
        <v>176.63899999999998</v>
      </c>
    </row>
    <row r="421" spans="1:4" s="81" customFormat="1" ht="15" customHeight="1" x14ac:dyDescent="0.25">
      <c r="A421" s="103"/>
      <c r="B421" s="413" t="s">
        <v>1182</v>
      </c>
      <c r="C421" s="414" t="s">
        <v>1183</v>
      </c>
      <c r="D421" s="416">
        <v>1310.6520000000007</v>
      </c>
    </row>
    <row r="422" spans="1:4" s="81" customFormat="1" ht="15" customHeight="1" x14ac:dyDescent="0.25">
      <c r="A422" s="103"/>
      <c r="B422" s="413"/>
      <c r="C422" s="414" t="s">
        <v>1000</v>
      </c>
      <c r="D422" s="416">
        <v>58.518999999999998</v>
      </c>
    </row>
    <row r="423" spans="1:4" s="81" customFormat="1" ht="15" customHeight="1" x14ac:dyDescent="0.25">
      <c r="A423" s="103"/>
      <c r="B423" s="413" t="s">
        <v>1184</v>
      </c>
      <c r="C423" s="414" t="s">
        <v>1183</v>
      </c>
      <c r="D423" s="416">
        <v>35.613999999999997</v>
      </c>
    </row>
    <row r="424" spans="1:4" s="81" customFormat="1" ht="15" customHeight="1" x14ac:dyDescent="0.25">
      <c r="A424" s="103"/>
      <c r="B424" s="413" t="s">
        <v>1185</v>
      </c>
      <c r="C424" s="414" t="s">
        <v>805</v>
      </c>
      <c r="D424" s="416">
        <v>3163.3860000000004</v>
      </c>
    </row>
    <row r="425" spans="1:4" s="81" customFormat="1" ht="15" customHeight="1" x14ac:dyDescent="0.25">
      <c r="A425" s="103"/>
      <c r="B425" s="413"/>
      <c r="C425" s="414" t="s">
        <v>1186</v>
      </c>
      <c r="D425" s="416">
        <v>9.0630000000000006</v>
      </c>
    </row>
    <row r="426" spans="1:4" s="81" customFormat="1" ht="15" customHeight="1" x14ac:dyDescent="0.25">
      <c r="A426" s="103"/>
      <c r="B426" s="413"/>
      <c r="C426" s="414" t="s">
        <v>1187</v>
      </c>
      <c r="D426" s="416">
        <v>3.1890000000000001</v>
      </c>
    </row>
    <row r="427" spans="1:4" s="81" customFormat="1" ht="15" customHeight="1" x14ac:dyDescent="0.25">
      <c r="A427" s="103"/>
      <c r="B427" s="413"/>
      <c r="C427" s="414" t="s">
        <v>1188</v>
      </c>
      <c r="D427" s="416">
        <v>91.177999999999997</v>
      </c>
    </row>
    <row r="428" spans="1:4" s="81" customFormat="1" x14ac:dyDescent="0.25">
      <c r="A428" s="103"/>
      <c r="B428" s="413"/>
      <c r="C428" s="414" t="s">
        <v>1189</v>
      </c>
      <c r="D428" s="416">
        <v>64.908000000000001</v>
      </c>
    </row>
    <row r="429" spans="1:4" s="81" customFormat="1" x14ac:dyDescent="0.25">
      <c r="A429" s="103"/>
      <c r="B429" s="413" t="s">
        <v>1190</v>
      </c>
      <c r="C429" s="414" t="s">
        <v>1191</v>
      </c>
      <c r="D429" s="416">
        <v>9764.0969999999834</v>
      </c>
    </row>
    <row r="430" spans="1:4" s="81" customFormat="1" ht="15" customHeight="1" x14ac:dyDescent="0.25">
      <c r="A430" s="103"/>
      <c r="B430" s="413" t="s">
        <v>1192</v>
      </c>
      <c r="C430" s="414" t="s">
        <v>1193</v>
      </c>
      <c r="D430" s="416">
        <v>85.245000000000005</v>
      </c>
    </row>
    <row r="431" spans="1:4" s="81" customFormat="1" x14ac:dyDescent="0.25">
      <c r="A431" s="103"/>
      <c r="B431" s="413" t="s">
        <v>1194</v>
      </c>
      <c r="C431" s="414" t="s">
        <v>1195</v>
      </c>
      <c r="D431" s="416">
        <v>4.5739999999999998</v>
      </c>
    </row>
    <row r="432" spans="1:4" s="81" customFormat="1" ht="15" customHeight="1" x14ac:dyDescent="0.25">
      <c r="A432" s="103"/>
      <c r="B432" s="413"/>
      <c r="C432" s="414" t="s">
        <v>1196</v>
      </c>
      <c r="D432" s="416">
        <v>3.26</v>
      </c>
    </row>
    <row r="433" spans="1:7" s="81" customFormat="1" ht="15" customHeight="1" x14ac:dyDescent="0.25">
      <c r="A433" s="103"/>
      <c r="B433" s="413"/>
      <c r="C433" s="414" t="s">
        <v>1197</v>
      </c>
      <c r="D433" s="416">
        <v>5.7090000000000005</v>
      </c>
    </row>
    <row r="434" spans="1:7" s="81" customFormat="1" ht="15" customHeight="1" x14ac:dyDescent="0.25">
      <c r="A434" s="103"/>
      <c r="B434" s="413"/>
      <c r="C434" s="414" t="s">
        <v>1006</v>
      </c>
      <c r="D434" s="416">
        <v>4162.6569999999983</v>
      </c>
    </row>
    <row r="435" spans="1:7" s="81" customFormat="1" ht="15" customHeight="1" x14ac:dyDescent="0.25">
      <c r="A435" s="103"/>
      <c r="B435" s="413"/>
      <c r="C435" s="414" t="s">
        <v>910</v>
      </c>
      <c r="D435" s="416">
        <v>9.0229999999999997</v>
      </c>
      <c r="G435" s="82"/>
    </row>
    <row r="436" spans="1:7" s="81" customFormat="1" ht="15" customHeight="1" x14ac:dyDescent="0.25">
      <c r="A436" s="103"/>
      <c r="B436" s="413"/>
      <c r="C436" s="414" t="s">
        <v>1198</v>
      </c>
      <c r="D436" s="416">
        <v>1624.9590000000001</v>
      </c>
    </row>
    <row r="437" spans="1:7" s="81" customFormat="1" ht="15" customHeight="1" x14ac:dyDescent="0.25">
      <c r="A437" s="103"/>
      <c r="B437" s="413"/>
      <c r="C437" s="414" t="s">
        <v>1193</v>
      </c>
      <c r="D437" s="416">
        <v>23.106000000000002</v>
      </c>
    </row>
    <row r="438" spans="1:7" s="81" customFormat="1" ht="15" customHeight="1" x14ac:dyDescent="0.25">
      <c r="A438" s="103"/>
      <c r="B438" s="413" t="s">
        <v>1199</v>
      </c>
      <c r="C438" s="414" t="s">
        <v>1198</v>
      </c>
      <c r="D438" s="416">
        <v>3.27</v>
      </c>
    </row>
    <row r="439" spans="1:7" s="81" customFormat="1" x14ac:dyDescent="0.25">
      <c r="A439" s="103"/>
      <c r="B439" s="413"/>
      <c r="C439" s="414" t="s">
        <v>1200</v>
      </c>
      <c r="D439" s="416">
        <v>4.8070000000000004</v>
      </c>
    </row>
    <row r="440" spans="1:7" s="81" customFormat="1" ht="15" customHeight="1" x14ac:dyDescent="0.25">
      <c r="A440" s="103"/>
      <c r="B440" s="413"/>
      <c r="C440" s="414" t="s">
        <v>1193</v>
      </c>
      <c r="D440" s="416">
        <v>93.664000000000016</v>
      </c>
    </row>
    <row r="441" spans="1:7" s="81" customFormat="1" x14ac:dyDescent="0.25">
      <c r="A441" s="103"/>
      <c r="B441" s="413" t="s">
        <v>1201</v>
      </c>
      <c r="C441" s="414" t="s">
        <v>1202</v>
      </c>
      <c r="D441" s="416">
        <v>33.185000000000002</v>
      </c>
    </row>
    <row r="442" spans="1:7" s="81" customFormat="1" ht="15" customHeight="1" x14ac:dyDescent="0.25">
      <c r="A442" s="103"/>
      <c r="B442" s="413" t="s">
        <v>1203</v>
      </c>
      <c r="C442" s="414" t="s">
        <v>1202</v>
      </c>
      <c r="D442" s="416">
        <v>4.3140000000000001</v>
      </c>
    </row>
    <row r="443" spans="1:7" s="81" customFormat="1" ht="15" customHeight="1" x14ac:dyDescent="0.25">
      <c r="A443" s="103"/>
      <c r="B443" s="413" t="s">
        <v>1204</v>
      </c>
      <c r="C443" s="414" t="s">
        <v>1205</v>
      </c>
      <c r="D443" s="416">
        <v>9.468</v>
      </c>
    </row>
    <row r="444" spans="1:7" s="81" customFormat="1" ht="15" customHeight="1" x14ac:dyDescent="0.25">
      <c r="A444" s="103"/>
      <c r="B444" s="413" t="s">
        <v>1206</v>
      </c>
      <c r="C444" s="414" t="s">
        <v>1129</v>
      </c>
      <c r="D444" s="416">
        <v>2.6360000000000001</v>
      </c>
    </row>
    <row r="445" spans="1:7" s="81" customFormat="1" ht="15" customHeight="1" x14ac:dyDescent="0.25">
      <c r="A445" s="103"/>
      <c r="B445" s="413"/>
      <c r="C445" s="414" t="s">
        <v>1131</v>
      </c>
      <c r="D445" s="416">
        <v>50.738999999999997</v>
      </c>
      <c r="F445" s="82"/>
    </row>
    <row r="446" spans="1:7" s="81" customFormat="1" ht="15" customHeight="1" x14ac:dyDescent="0.25">
      <c r="A446" s="103"/>
      <c r="B446" s="413" t="s">
        <v>1207</v>
      </c>
      <c r="C446" s="414" t="s">
        <v>1005</v>
      </c>
      <c r="D446" s="416">
        <v>770.0200000000001</v>
      </c>
    </row>
    <row r="447" spans="1:7" s="81" customFormat="1" x14ac:dyDescent="0.25">
      <c r="A447" s="103"/>
      <c r="B447" s="413"/>
      <c r="C447" s="414" t="s">
        <v>1006</v>
      </c>
      <c r="D447" s="416">
        <v>537.74599999999987</v>
      </c>
    </row>
    <row r="448" spans="1:7" s="81" customFormat="1" x14ac:dyDescent="0.25">
      <c r="A448" s="103"/>
      <c r="B448" s="413"/>
      <c r="C448" s="414" t="s">
        <v>1208</v>
      </c>
      <c r="D448" s="416">
        <v>23.11</v>
      </c>
    </row>
    <row r="449" spans="1:4" s="81" customFormat="1" ht="15" customHeight="1" x14ac:dyDescent="0.25">
      <c r="A449" s="103"/>
      <c r="B449" s="413"/>
      <c r="C449" s="414" t="s">
        <v>1209</v>
      </c>
      <c r="D449" s="416">
        <v>276.17399999999998</v>
      </c>
    </row>
    <row r="450" spans="1:4" s="81" customFormat="1" ht="15" customHeight="1" x14ac:dyDescent="0.25">
      <c r="A450" s="103"/>
      <c r="B450" s="413"/>
      <c r="C450" s="414" t="s">
        <v>1210</v>
      </c>
      <c r="D450" s="416">
        <v>7.1539999999999999</v>
      </c>
    </row>
    <row r="451" spans="1:4" s="81" customFormat="1" ht="15" customHeight="1" x14ac:dyDescent="0.25">
      <c r="A451" s="103"/>
      <c r="B451" s="413" t="s">
        <v>1211</v>
      </c>
      <c r="C451" s="414" t="s">
        <v>896</v>
      </c>
      <c r="D451" s="416">
        <v>204.78999999999994</v>
      </c>
    </row>
    <row r="452" spans="1:4" s="81" customFormat="1" ht="15" customHeight="1" x14ac:dyDescent="0.25">
      <c r="A452" s="103"/>
      <c r="B452" s="413" t="s">
        <v>1212</v>
      </c>
      <c r="C452" s="414" t="s">
        <v>1161</v>
      </c>
      <c r="D452" s="416">
        <v>30.850999999999999</v>
      </c>
    </row>
    <row r="453" spans="1:4" s="81" customFormat="1" ht="15" customHeight="1" x14ac:dyDescent="0.25">
      <c r="A453" s="103"/>
      <c r="B453" s="413"/>
      <c r="C453" s="414" t="s">
        <v>1213</v>
      </c>
      <c r="D453" s="416">
        <v>68394.013999999981</v>
      </c>
    </row>
    <row r="454" spans="1:4" s="81" customFormat="1" ht="15" customHeight="1" x14ac:dyDescent="0.25">
      <c r="A454" s="103"/>
      <c r="B454" s="413"/>
      <c r="C454" s="414" t="s">
        <v>1162</v>
      </c>
      <c r="D454" s="416">
        <v>28.522000000000002</v>
      </c>
    </row>
    <row r="455" spans="1:4" s="81" customFormat="1" ht="15" customHeight="1" x14ac:dyDescent="0.25">
      <c r="A455" s="103"/>
      <c r="B455" s="413" t="s">
        <v>1214</v>
      </c>
      <c r="C455" s="414" t="s">
        <v>1213</v>
      </c>
      <c r="D455" s="416">
        <v>828.11699999999996</v>
      </c>
    </row>
    <row r="456" spans="1:4" s="81" customFormat="1" ht="15" customHeight="1" x14ac:dyDescent="0.25">
      <c r="A456" s="103"/>
      <c r="B456" s="413" t="s">
        <v>1215</v>
      </c>
      <c r="C456" s="414" t="s">
        <v>1216</v>
      </c>
      <c r="D456" s="416">
        <v>1862.7250000000001</v>
      </c>
    </row>
    <row r="457" spans="1:4" s="81" customFormat="1" ht="15" customHeight="1" x14ac:dyDescent="0.25">
      <c r="A457" s="103"/>
      <c r="B457" s="413"/>
      <c r="C457" s="414" t="s">
        <v>1217</v>
      </c>
      <c r="D457" s="416">
        <v>6418.5300000000007</v>
      </c>
    </row>
    <row r="458" spans="1:4" s="81" customFormat="1" x14ac:dyDescent="0.25">
      <c r="A458" s="103"/>
      <c r="B458" s="413"/>
      <c r="C458" s="414" t="s">
        <v>1218</v>
      </c>
      <c r="D458" s="416">
        <v>33.150999999999996</v>
      </c>
    </row>
    <row r="459" spans="1:4" s="81" customFormat="1" x14ac:dyDescent="0.25">
      <c r="A459" s="103"/>
      <c r="B459" s="413"/>
      <c r="C459" s="414" t="s">
        <v>1219</v>
      </c>
      <c r="D459" s="416">
        <v>609.54399999999976</v>
      </c>
    </row>
    <row r="460" spans="1:4" s="81" customFormat="1" ht="15" customHeight="1" x14ac:dyDescent="0.25">
      <c r="A460" s="103"/>
      <c r="B460" s="413"/>
      <c r="C460" s="414" t="s">
        <v>1220</v>
      </c>
      <c r="D460" s="416">
        <v>42.918000000000006</v>
      </c>
    </row>
    <row r="461" spans="1:4" s="81" customFormat="1" x14ac:dyDescent="0.25">
      <c r="A461" s="103"/>
      <c r="B461" s="413" t="s">
        <v>1221</v>
      </c>
      <c r="C461" s="414" t="s">
        <v>1217</v>
      </c>
      <c r="D461" s="416">
        <v>191.22499999999999</v>
      </c>
    </row>
    <row r="462" spans="1:4" s="81" customFormat="1" x14ac:dyDescent="0.25">
      <c r="A462" s="103"/>
      <c r="B462" s="413" t="s">
        <v>1222</v>
      </c>
      <c r="C462" s="414" t="s">
        <v>1216</v>
      </c>
      <c r="D462" s="416">
        <v>2475.66</v>
      </c>
    </row>
    <row r="463" spans="1:4" s="81" customFormat="1" x14ac:dyDescent="0.25">
      <c r="A463" s="103"/>
      <c r="B463" s="413"/>
      <c r="C463" s="414" t="s">
        <v>1217</v>
      </c>
      <c r="D463" s="416">
        <v>412.76599999999996</v>
      </c>
    </row>
    <row r="464" spans="1:4" s="81" customFormat="1" ht="15" customHeight="1" x14ac:dyDescent="0.25">
      <c r="A464" s="103"/>
      <c r="B464" s="413" t="s">
        <v>1223</v>
      </c>
      <c r="C464" s="414" t="s">
        <v>1224</v>
      </c>
      <c r="D464" s="416">
        <v>934.65399999999966</v>
      </c>
    </row>
    <row r="465" spans="1:6" s="81" customFormat="1" ht="15" customHeight="1" x14ac:dyDescent="0.25">
      <c r="A465" s="103"/>
      <c r="B465" s="413" t="s">
        <v>1225</v>
      </c>
      <c r="C465" s="414" t="s">
        <v>1027</v>
      </c>
      <c r="D465" s="416">
        <v>207.31599999999995</v>
      </c>
    </row>
    <row r="466" spans="1:6" s="81" customFormat="1" ht="15" customHeight="1" x14ac:dyDescent="0.25">
      <c r="A466" s="103"/>
      <c r="B466" s="413" t="s">
        <v>1226</v>
      </c>
      <c r="C466" s="414" t="s">
        <v>1227</v>
      </c>
      <c r="D466" s="416">
        <v>1071.6190000000004</v>
      </c>
    </row>
    <row r="467" spans="1:6" s="81" customFormat="1" ht="15" customHeight="1" x14ac:dyDescent="0.25">
      <c r="A467" s="103"/>
      <c r="B467" s="413"/>
      <c r="C467" s="414" t="s">
        <v>1228</v>
      </c>
      <c r="D467" s="416">
        <v>108.86499999999998</v>
      </c>
    </row>
    <row r="468" spans="1:6" s="81" customFormat="1" x14ac:dyDescent="0.25">
      <c r="A468" s="103"/>
      <c r="B468" s="413"/>
      <c r="C468" s="414" t="s">
        <v>1229</v>
      </c>
      <c r="D468" s="416">
        <v>163.6</v>
      </c>
    </row>
    <row r="469" spans="1:6" s="81" customFormat="1" x14ac:dyDescent="0.25">
      <c r="A469" s="103"/>
      <c r="B469" s="413" t="s">
        <v>1230</v>
      </c>
      <c r="C469" s="414" t="s">
        <v>1027</v>
      </c>
      <c r="D469" s="416">
        <v>18375.275499999996</v>
      </c>
    </row>
    <row r="470" spans="1:6" s="81" customFormat="1" x14ac:dyDescent="0.25">
      <c r="A470" s="103"/>
      <c r="B470" s="413"/>
      <c r="C470" s="414" t="s">
        <v>1231</v>
      </c>
      <c r="D470" s="416">
        <v>10092.535999999991</v>
      </c>
    </row>
    <row r="471" spans="1:6" s="81" customFormat="1" ht="15" customHeight="1" x14ac:dyDescent="0.25">
      <c r="A471" s="103"/>
      <c r="B471" s="413"/>
      <c r="C471" s="414" t="s">
        <v>1232</v>
      </c>
      <c r="D471" s="416">
        <v>189.44199999999998</v>
      </c>
    </row>
    <row r="472" spans="1:6" s="81" customFormat="1" x14ac:dyDescent="0.25">
      <c r="A472" s="103"/>
      <c r="B472" s="413" t="s">
        <v>1233</v>
      </c>
      <c r="C472" s="414" t="s">
        <v>1234</v>
      </c>
      <c r="D472" s="416">
        <v>601.8730000000005</v>
      </c>
    </row>
    <row r="473" spans="1:6" s="81" customFormat="1" ht="15" customHeight="1" x14ac:dyDescent="0.25">
      <c r="A473" s="103"/>
      <c r="B473" s="413"/>
      <c r="C473" s="414" t="s">
        <v>1235</v>
      </c>
      <c r="D473" s="416">
        <v>1027.2900000000004</v>
      </c>
    </row>
    <row r="474" spans="1:6" s="81" customFormat="1" ht="15" customHeight="1" x14ac:dyDescent="0.25">
      <c r="A474" s="103"/>
      <c r="B474" s="413"/>
      <c r="C474" s="414" t="s">
        <v>1236</v>
      </c>
      <c r="D474" s="416">
        <v>539.67900000000031</v>
      </c>
      <c r="F474" s="82"/>
    </row>
    <row r="475" spans="1:6" s="81" customFormat="1" x14ac:dyDescent="0.25">
      <c r="A475" s="103"/>
      <c r="B475" s="413" t="s">
        <v>1237</v>
      </c>
      <c r="C475" s="414" t="s">
        <v>1234</v>
      </c>
      <c r="D475" s="416">
        <v>2.3650000000000002</v>
      </c>
    </row>
    <row r="476" spans="1:6" s="81" customFormat="1" ht="15" customHeight="1" x14ac:dyDescent="0.25">
      <c r="A476" s="103"/>
      <c r="B476" s="413" t="s">
        <v>1238</v>
      </c>
      <c r="C476" s="414" t="s">
        <v>1010</v>
      </c>
      <c r="D476" s="416">
        <v>21.930999999999997</v>
      </c>
    </row>
    <row r="477" spans="1:6" s="81" customFormat="1" x14ac:dyDescent="0.25">
      <c r="A477" s="103"/>
      <c r="B477" s="413"/>
      <c r="C477" s="414" t="s">
        <v>1011</v>
      </c>
      <c r="D477" s="416">
        <v>17.283999999999999</v>
      </c>
    </row>
    <row r="478" spans="1:6" s="81" customFormat="1" ht="15" customHeight="1" x14ac:dyDescent="0.25">
      <c r="A478" s="103"/>
      <c r="B478" s="413"/>
      <c r="C478" s="414" t="s">
        <v>1239</v>
      </c>
      <c r="D478" s="416">
        <v>761.8040000000002</v>
      </c>
    </row>
    <row r="479" spans="1:6" s="81" customFormat="1" x14ac:dyDescent="0.25">
      <c r="A479" s="103"/>
      <c r="B479" s="413" t="s">
        <v>1240</v>
      </c>
      <c r="C479" s="414" t="s">
        <v>1012</v>
      </c>
      <c r="D479" s="416">
        <v>4.9450000000000003</v>
      </c>
    </row>
    <row r="480" spans="1:6" s="81" customFormat="1" x14ac:dyDescent="0.25">
      <c r="A480" s="103"/>
      <c r="B480" s="413" t="s">
        <v>1241</v>
      </c>
      <c r="C480" s="414" t="s">
        <v>1242</v>
      </c>
      <c r="D480" s="416">
        <v>11558.346999999994</v>
      </c>
    </row>
    <row r="481" spans="1:5" s="81" customFormat="1" x14ac:dyDescent="0.25">
      <c r="A481" s="103"/>
      <c r="B481" s="413" t="s">
        <v>1243</v>
      </c>
      <c r="C481" s="414" t="s">
        <v>1242</v>
      </c>
      <c r="D481" s="416">
        <v>3.919</v>
      </c>
    </row>
    <row r="482" spans="1:5" s="81" customFormat="1" x14ac:dyDescent="0.25">
      <c r="A482" s="103"/>
      <c r="B482" s="413" t="s">
        <v>1244</v>
      </c>
      <c r="C482" s="414" t="s">
        <v>1245</v>
      </c>
      <c r="D482" s="416">
        <v>20.081</v>
      </c>
    </row>
    <row r="483" spans="1:5" s="81" customFormat="1" ht="15" customHeight="1" x14ac:dyDescent="0.25">
      <c r="A483" s="103"/>
      <c r="B483" s="413"/>
      <c r="C483" s="414" t="s">
        <v>1246</v>
      </c>
      <c r="D483" s="416">
        <v>776.17700000000002</v>
      </c>
    </row>
    <row r="484" spans="1:5" s="81" customFormat="1" ht="15" customHeight="1" x14ac:dyDescent="0.25">
      <c r="A484" s="103"/>
      <c r="B484" s="413"/>
      <c r="C484" s="414" t="s">
        <v>910</v>
      </c>
      <c r="D484" s="416">
        <v>219.41900000000001</v>
      </c>
    </row>
    <row r="485" spans="1:5" s="81" customFormat="1" ht="15" customHeight="1" x14ac:dyDescent="0.25">
      <c r="A485" s="103"/>
      <c r="B485" s="413"/>
      <c r="C485" s="414" t="s">
        <v>1119</v>
      </c>
      <c r="D485" s="416">
        <v>49719.252000000022</v>
      </c>
    </row>
    <row r="486" spans="1:5" s="81" customFormat="1" x14ac:dyDescent="0.25">
      <c r="A486" s="103"/>
      <c r="B486" s="413" t="s">
        <v>1247</v>
      </c>
      <c r="C486" s="414" t="s">
        <v>1246</v>
      </c>
      <c r="D486" s="416">
        <v>3.4320000000000004</v>
      </c>
      <c r="E486" s="82"/>
    </row>
    <row r="487" spans="1:5" s="81" customFormat="1" ht="15" customHeight="1" x14ac:dyDescent="0.25">
      <c r="A487" s="103"/>
      <c r="B487" s="413"/>
      <c r="C487" s="414" t="s">
        <v>1248</v>
      </c>
      <c r="D487" s="416">
        <v>6.4359999999999999</v>
      </c>
    </row>
    <row r="488" spans="1:5" s="81" customFormat="1" x14ac:dyDescent="0.25">
      <c r="A488" s="103"/>
      <c r="B488" s="413" t="s">
        <v>1249</v>
      </c>
      <c r="C488" s="414" t="s">
        <v>1250</v>
      </c>
      <c r="D488" s="416">
        <v>52.849999999999994</v>
      </c>
    </row>
    <row r="489" spans="1:5" s="81" customFormat="1" x14ac:dyDescent="0.25">
      <c r="A489" s="103"/>
      <c r="B489" s="413"/>
      <c r="C489" s="414" t="s">
        <v>1251</v>
      </c>
      <c r="D489" s="416">
        <v>1116.6570000000004</v>
      </c>
    </row>
    <row r="490" spans="1:5" s="81" customFormat="1" ht="15" customHeight="1" x14ac:dyDescent="0.25">
      <c r="A490" s="103"/>
      <c r="B490" s="413"/>
      <c r="C490" s="414" t="s">
        <v>1124</v>
      </c>
      <c r="D490" s="416">
        <v>113.25999999999998</v>
      </c>
    </row>
    <row r="491" spans="1:5" s="81" customFormat="1" ht="15" customHeight="1" x14ac:dyDescent="0.25">
      <c r="A491" s="103"/>
      <c r="B491" s="413" t="s">
        <v>1252</v>
      </c>
      <c r="C491" s="414" t="s">
        <v>1251</v>
      </c>
      <c r="D491" s="416">
        <v>13.579000000000001</v>
      </c>
    </row>
    <row r="492" spans="1:5" s="81" customFormat="1" ht="15" customHeight="1" x14ac:dyDescent="0.25">
      <c r="A492" s="103"/>
      <c r="B492" s="413"/>
      <c r="C492" s="414" t="s">
        <v>1253</v>
      </c>
      <c r="D492" s="416">
        <v>194.80499999999998</v>
      </c>
    </row>
    <row r="493" spans="1:5" s="81" customFormat="1" ht="15" customHeight="1" x14ac:dyDescent="0.25">
      <c r="A493" s="103"/>
      <c r="B493" s="413"/>
      <c r="C493" s="414" t="s">
        <v>1254</v>
      </c>
      <c r="D493" s="416">
        <v>70.253</v>
      </c>
    </row>
    <row r="494" spans="1:5" s="81" customFormat="1" x14ac:dyDescent="0.25">
      <c r="A494" s="103"/>
      <c r="B494" s="413"/>
      <c r="C494" s="414" t="s">
        <v>1124</v>
      </c>
      <c r="D494" s="416">
        <v>211.99999999999994</v>
      </c>
    </row>
    <row r="495" spans="1:5" s="81" customFormat="1" x14ac:dyDescent="0.25">
      <c r="A495" s="103"/>
      <c r="B495" s="413"/>
      <c r="C495" s="414" t="s">
        <v>1255</v>
      </c>
      <c r="D495" s="416">
        <v>47.144000000000005</v>
      </c>
    </row>
    <row r="496" spans="1:5" s="81" customFormat="1" ht="15" customHeight="1" x14ac:dyDescent="0.25">
      <c r="A496" s="103"/>
      <c r="B496" s="413" t="s">
        <v>1256</v>
      </c>
      <c r="C496" s="414" t="s">
        <v>1200</v>
      </c>
      <c r="D496" s="416">
        <v>62.209000000000003</v>
      </c>
    </row>
    <row r="497" spans="1:4" s="81" customFormat="1" x14ac:dyDescent="0.25">
      <c r="A497" s="103"/>
      <c r="B497" s="413" t="s">
        <v>1257</v>
      </c>
      <c r="C497" s="414" t="s">
        <v>1250</v>
      </c>
      <c r="D497" s="416">
        <v>184.92899999999995</v>
      </c>
    </row>
    <row r="498" spans="1:4" s="81" customFormat="1" ht="15" customHeight="1" x14ac:dyDescent="0.25">
      <c r="A498" s="103"/>
      <c r="B498" s="413"/>
      <c r="C498" s="414" t="s">
        <v>1200</v>
      </c>
      <c r="D498" s="416">
        <v>33.753999999999998</v>
      </c>
    </row>
    <row r="499" spans="1:4" s="81" customFormat="1" ht="15" customHeight="1" x14ac:dyDescent="0.25">
      <c r="A499" s="103"/>
      <c r="B499" s="413"/>
      <c r="C499" s="414" t="s">
        <v>1258</v>
      </c>
      <c r="D499" s="416">
        <v>6.2919999999999998</v>
      </c>
    </row>
    <row r="500" spans="1:4" s="81" customFormat="1" x14ac:dyDescent="0.25">
      <c r="A500" s="103"/>
      <c r="B500" s="413"/>
      <c r="C500" s="414" t="s">
        <v>1251</v>
      </c>
      <c r="D500" s="416">
        <v>842.47599999999954</v>
      </c>
    </row>
    <row r="501" spans="1:4" s="81" customFormat="1" ht="15" customHeight="1" x14ac:dyDescent="0.25">
      <c r="A501" s="103"/>
      <c r="B501" s="413" t="s">
        <v>1259</v>
      </c>
      <c r="C501" s="414" t="s">
        <v>1227</v>
      </c>
      <c r="D501" s="416">
        <v>6.1479999999999997</v>
      </c>
    </row>
    <row r="502" spans="1:4" s="81" customFormat="1" x14ac:dyDescent="0.25">
      <c r="A502" s="103"/>
      <c r="B502" s="413"/>
      <c r="C502" s="414" t="s">
        <v>1260</v>
      </c>
      <c r="D502" s="416">
        <v>15.209</v>
      </c>
    </row>
    <row r="503" spans="1:4" s="81" customFormat="1" x14ac:dyDescent="0.25">
      <c r="A503" s="103"/>
      <c r="B503" s="413"/>
      <c r="C503" s="414" t="s">
        <v>1261</v>
      </c>
      <c r="D503" s="416">
        <v>100.05499999999999</v>
      </c>
    </row>
    <row r="504" spans="1:4" s="81" customFormat="1" ht="15" customHeight="1" x14ac:dyDescent="0.25">
      <c r="A504" s="103"/>
      <c r="B504" s="413"/>
      <c r="C504" s="414" t="s">
        <v>1262</v>
      </c>
      <c r="D504" s="416">
        <v>22.481000000000002</v>
      </c>
    </row>
    <row r="505" spans="1:4" s="81" customFormat="1" ht="15" customHeight="1" x14ac:dyDescent="0.25">
      <c r="A505" s="103"/>
      <c r="B505" s="413"/>
      <c r="C505" s="414" t="s">
        <v>1229</v>
      </c>
      <c r="D505" s="416">
        <v>1290.3659999999998</v>
      </c>
    </row>
    <row r="506" spans="1:4" s="81" customFormat="1" x14ac:dyDescent="0.25">
      <c r="A506" s="103"/>
      <c r="B506" s="413" t="s">
        <v>1263</v>
      </c>
      <c r="C506" s="414" t="s">
        <v>1264</v>
      </c>
      <c r="D506" s="416">
        <v>7.0299999999999994</v>
      </c>
    </row>
    <row r="507" spans="1:4" s="81" customFormat="1" x14ac:dyDescent="0.25">
      <c r="A507" s="103"/>
      <c r="B507" s="413" t="s">
        <v>1265</v>
      </c>
      <c r="C507" s="414" t="s">
        <v>866</v>
      </c>
      <c r="D507" s="416">
        <v>726.23300000000006</v>
      </c>
    </row>
    <row r="508" spans="1:4" s="81" customFormat="1" ht="15" customHeight="1" x14ac:dyDescent="0.25">
      <c r="A508" s="103"/>
      <c r="B508" s="413"/>
      <c r="C508" s="414" t="s">
        <v>1266</v>
      </c>
      <c r="D508" s="416">
        <v>396.80200000000002</v>
      </c>
    </row>
    <row r="509" spans="1:4" s="81" customFormat="1" ht="15" customHeight="1" x14ac:dyDescent="0.25">
      <c r="A509" s="103"/>
      <c r="B509" s="413"/>
      <c r="C509" s="414" t="s">
        <v>868</v>
      </c>
      <c r="D509" s="416">
        <v>9693.0389999999934</v>
      </c>
    </row>
    <row r="510" spans="1:4" s="81" customFormat="1" ht="15" customHeight="1" x14ac:dyDescent="0.25">
      <c r="A510" s="103"/>
      <c r="B510" s="413"/>
      <c r="C510" s="414" t="s">
        <v>869</v>
      </c>
      <c r="D510" s="416">
        <v>2.8679999999999999</v>
      </c>
    </row>
    <row r="511" spans="1:4" s="81" customFormat="1" x14ac:dyDescent="0.25">
      <c r="A511" s="103"/>
      <c r="B511" s="413" t="s">
        <v>1267</v>
      </c>
      <c r="C511" s="414" t="s">
        <v>869</v>
      </c>
      <c r="D511" s="416">
        <v>314.87100000000004</v>
      </c>
    </row>
    <row r="512" spans="1:4" s="81" customFormat="1" x14ac:dyDescent="0.25">
      <c r="A512" s="103"/>
      <c r="B512" s="413" t="s">
        <v>1268</v>
      </c>
      <c r="C512" s="414" t="s">
        <v>1269</v>
      </c>
      <c r="D512" s="416">
        <v>42.021999999999998</v>
      </c>
    </row>
    <row r="513" spans="1:4" s="81" customFormat="1" ht="15" customHeight="1" x14ac:dyDescent="0.25">
      <c r="A513" s="103"/>
      <c r="B513" s="413"/>
      <c r="C513" s="414" t="s">
        <v>815</v>
      </c>
      <c r="D513" s="416">
        <v>224.31899999999996</v>
      </c>
    </row>
    <row r="514" spans="1:4" s="81" customFormat="1" ht="15" customHeight="1" x14ac:dyDescent="0.25">
      <c r="A514" s="103"/>
      <c r="B514" s="413"/>
      <c r="C514" s="414" t="s">
        <v>801</v>
      </c>
      <c r="D514" s="416">
        <v>4275.4529999999977</v>
      </c>
    </row>
    <row r="515" spans="1:4" s="81" customFormat="1" x14ac:dyDescent="0.25">
      <c r="A515" s="103"/>
      <c r="B515" s="413"/>
      <c r="C515" s="414" t="s">
        <v>1270</v>
      </c>
      <c r="D515" s="416">
        <v>313.76300000000003</v>
      </c>
    </row>
    <row r="516" spans="1:4" s="81" customFormat="1" x14ac:dyDescent="0.25">
      <c r="A516" s="103"/>
      <c r="B516" s="413"/>
      <c r="C516" s="414" t="s">
        <v>1271</v>
      </c>
      <c r="D516" s="416">
        <v>4.2729999999999997</v>
      </c>
    </row>
    <row r="517" spans="1:4" s="81" customFormat="1" x14ac:dyDescent="0.25">
      <c r="A517" s="103"/>
      <c r="B517" s="413"/>
      <c r="C517" s="414" t="s">
        <v>1272</v>
      </c>
      <c r="D517" s="416">
        <v>38.01400000000001</v>
      </c>
    </row>
    <row r="518" spans="1:4" s="81" customFormat="1" ht="15" customHeight="1" x14ac:dyDescent="0.25">
      <c r="A518" s="103"/>
      <c r="B518" s="413"/>
      <c r="C518" s="414" t="s">
        <v>1273</v>
      </c>
      <c r="D518" s="416">
        <v>1.355</v>
      </c>
    </row>
    <row r="519" spans="1:4" s="81" customFormat="1" ht="15" customHeight="1" x14ac:dyDescent="0.25">
      <c r="A519" s="103"/>
      <c r="B519" s="413"/>
      <c r="C519" s="414" t="s">
        <v>1274</v>
      </c>
      <c r="D519" s="416">
        <v>1.37</v>
      </c>
    </row>
    <row r="520" spans="1:4" s="81" customFormat="1" ht="15" customHeight="1" x14ac:dyDescent="0.25">
      <c r="A520" s="103"/>
      <c r="B520" s="413"/>
      <c r="C520" s="414" t="s">
        <v>1275</v>
      </c>
      <c r="D520" s="416">
        <v>30.393000000000001</v>
      </c>
    </row>
    <row r="521" spans="1:4" s="81" customFormat="1" ht="15" customHeight="1" x14ac:dyDescent="0.25">
      <c r="A521" s="103"/>
      <c r="B521" s="413"/>
      <c r="C521" s="414" t="s">
        <v>1276</v>
      </c>
      <c r="D521" s="416">
        <v>11.160999999999998</v>
      </c>
    </row>
    <row r="522" spans="1:4" s="81" customFormat="1" x14ac:dyDescent="0.25">
      <c r="A522" s="103"/>
      <c r="B522" s="413"/>
      <c r="C522" s="414" t="s">
        <v>1277</v>
      </c>
      <c r="D522" s="416">
        <v>381.59000000000003</v>
      </c>
    </row>
    <row r="523" spans="1:4" s="81" customFormat="1" x14ac:dyDescent="0.25">
      <c r="A523" s="103"/>
      <c r="B523" s="413"/>
      <c r="C523" s="414" t="s">
        <v>1086</v>
      </c>
      <c r="D523" s="416">
        <v>698.17599999999993</v>
      </c>
    </row>
    <row r="524" spans="1:4" s="81" customFormat="1" x14ac:dyDescent="0.25">
      <c r="A524" s="103"/>
      <c r="B524" s="413"/>
      <c r="C524" s="414" t="s">
        <v>820</v>
      </c>
      <c r="D524" s="416">
        <v>7.56</v>
      </c>
    </row>
    <row r="525" spans="1:4" s="81" customFormat="1" ht="15" customHeight="1" x14ac:dyDescent="0.25">
      <c r="A525" s="103"/>
      <c r="B525" s="413"/>
      <c r="C525" s="414" t="s">
        <v>798</v>
      </c>
      <c r="D525" s="416">
        <v>1.258</v>
      </c>
    </row>
    <row r="526" spans="1:4" s="81" customFormat="1" x14ac:dyDescent="0.25">
      <c r="A526" s="103"/>
      <c r="B526" s="413"/>
      <c r="C526" s="414" t="s">
        <v>1278</v>
      </c>
      <c r="D526" s="416">
        <v>2.3210000000000002</v>
      </c>
    </row>
    <row r="527" spans="1:4" s="81" customFormat="1" x14ac:dyDescent="0.25">
      <c r="A527" s="103"/>
      <c r="B527" s="413"/>
      <c r="C527" s="414" t="s">
        <v>799</v>
      </c>
      <c r="D527" s="416">
        <v>71.931000000000012</v>
      </c>
    </row>
    <row r="528" spans="1:4" s="81" customFormat="1" ht="15" customHeight="1" x14ac:dyDescent="0.25">
      <c r="A528" s="103"/>
      <c r="B528" s="413"/>
      <c r="C528" s="414" t="s">
        <v>1279</v>
      </c>
      <c r="D528" s="416">
        <v>27.375</v>
      </c>
    </row>
    <row r="529" spans="1:4" s="81" customFormat="1" ht="15" customHeight="1" x14ac:dyDescent="0.25">
      <c r="A529" s="103"/>
      <c r="B529" s="413"/>
      <c r="C529" s="414" t="s">
        <v>1280</v>
      </c>
      <c r="D529" s="416">
        <v>101.262</v>
      </c>
    </row>
    <row r="530" spans="1:4" s="81" customFormat="1" ht="15" customHeight="1" x14ac:dyDescent="0.25">
      <c r="A530" s="103"/>
      <c r="B530" s="413"/>
      <c r="C530" s="414" t="s">
        <v>879</v>
      </c>
      <c r="D530" s="416">
        <v>8.3460000000000001</v>
      </c>
    </row>
    <row r="531" spans="1:4" s="81" customFormat="1" ht="15" customHeight="1" x14ac:dyDescent="0.25">
      <c r="A531" s="103"/>
      <c r="B531" s="413" t="s">
        <v>1281</v>
      </c>
      <c r="C531" s="414" t="s">
        <v>900</v>
      </c>
      <c r="D531" s="416">
        <v>1815.2570000000001</v>
      </c>
    </row>
    <row r="532" spans="1:4" s="81" customFormat="1" ht="15" customHeight="1" x14ac:dyDescent="0.25">
      <c r="A532" s="103"/>
      <c r="B532" s="413" t="s">
        <v>1282</v>
      </c>
      <c r="C532" s="414" t="s">
        <v>1283</v>
      </c>
      <c r="D532" s="416">
        <v>8.1709999999999994</v>
      </c>
    </row>
    <row r="533" spans="1:4" s="81" customFormat="1" ht="15" customHeight="1" x14ac:dyDescent="0.25">
      <c r="A533" s="103"/>
      <c r="B533" s="413"/>
      <c r="C533" s="414" t="s">
        <v>1284</v>
      </c>
      <c r="D533" s="416">
        <v>16.506</v>
      </c>
    </row>
    <row r="534" spans="1:4" s="81" customFormat="1" x14ac:dyDescent="0.25">
      <c r="A534" s="103"/>
      <c r="B534" s="413"/>
      <c r="C534" s="414" t="s">
        <v>798</v>
      </c>
      <c r="D534" s="416">
        <v>2.1030000000000002</v>
      </c>
    </row>
    <row r="535" spans="1:4" s="81" customFormat="1" x14ac:dyDescent="0.25">
      <c r="A535" s="103"/>
      <c r="B535" s="413"/>
      <c r="C535" s="414" t="s">
        <v>799</v>
      </c>
      <c r="D535" s="416">
        <v>31.001999999999999</v>
      </c>
    </row>
    <row r="536" spans="1:4" s="81" customFormat="1" ht="15" customHeight="1" x14ac:dyDescent="0.25">
      <c r="A536" s="103"/>
      <c r="B536" s="413" t="s">
        <v>1285</v>
      </c>
      <c r="C536" s="414" t="s">
        <v>799</v>
      </c>
      <c r="D536" s="416">
        <v>10.852</v>
      </c>
    </row>
    <row r="537" spans="1:4" s="81" customFormat="1" ht="15" customHeight="1" x14ac:dyDescent="0.25">
      <c r="A537" s="103"/>
      <c r="B537" s="413" t="s">
        <v>1286</v>
      </c>
      <c r="C537" s="414" t="s">
        <v>815</v>
      </c>
      <c r="D537" s="416">
        <v>817.25799999999958</v>
      </c>
    </row>
    <row r="538" spans="1:4" s="81" customFormat="1" x14ac:dyDescent="0.25">
      <c r="A538" s="103"/>
      <c r="B538" s="413"/>
      <c r="C538" s="414" t="s">
        <v>1287</v>
      </c>
      <c r="D538" s="416">
        <v>48.253000000000007</v>
      </c>
    </row>
    <row r="539" spans="1:4" s="81" customFormat="1" ht="15" customHeight="1" x14ac:dyDescent="0.25">
      <c r="A539" s="103"/>
      <c r="B539" s="413"/>
      <c r="C539" s="414" t="s">
        <v>817</v>
      </c>
      <c r="D539" s="416">
        <v>34.421999999999997</v>
      </c>
    </row>
    <row r="540" spans="1:4" s="81" customFormat="1" ht="15" customHeight="1" x14ac:dyDescent="0.25">
      <c r="A540" s="103"/>
      <c r="B540" s="413"/>
      <c r="C540" s="414" t="s">
        <v>1270</v>
      </c>
      <c r="D540" s="416">
        <v>1090.5579999999998</v>
      </c>
    </row>
    <row r="541" spans="1:4" s="81" customFormat="1" ht="15" customHeight="1" x14ac:dyDescent="0.25">
      <c r="A541" s="103"/>
      <c r="B541" s="413"/>
      <c r="C541" s="414" t="s">
        <v>1272</v>
      </c>
      <c r="D541" s="416">
        <v>93.402000000000029</v>
      </c>
    </row>
    <row r="542" spans="1:4" s="81" customFormat="1" x14ac:dyDescent="0.25">
      <c r="A542" s="103"/>
      <c r="B542" s="413"/>
      <c r="C542" s="414" t="s">
        <v>1176</v>
      </c>
      <c r="D542" s="416">
        <v>134.88399999999999</v>
      </c>
    </row>
    <row r="543" spans="1:4" s="81" customFormat="1" ht="15" customHeight="1" x14ac:dyDescent="0.25">
      <c r="A543" s="103"/>
      <c r="B543" s="413"/>
      <c r="C543" s="414" t="s">
        <v>1288</v>
      </c>
      <c r="D543" s="416">
        <v>81.777000000000001</v>
      </c>
    </row>
    <row r="544" spans="1:4" s="81" customFormat="1" ht="15" customHeight="1" x14ac:dyDescent="0.25">
      <c r="A544" s="103"/>
      <c r="B544" s="413"/>
      <c r="C544" s="414" t="s">
        <v>1273</v>
      </c>
      <c r="D544" s="416">
        <v>1.2470000000000001</v>
      </c>
    </row>
    <row r="545" spans="1:7" s="81" customFormat="1" x14ac:dyDescent="0.25">
      <c r="A545" s="103"/>
      <c r="B545" s="413"/>
      <c r="C545" s="414" t="s">
        <v>1289</v>
      </c>
      <c r="D545" s="416">
        <v>2.9089999999999998</v>
      </c>
    </row>
    <row r="546" spans="1:7" s="81" customFormat="1" ht="15" customHeight="1" x14ac:dyDescent="0.25">
      <c r="A546" s="103"/>
      <c r="B546" s="413"/>
      <c r="C546" s="414" t="s">
        <v>1276</v>
      </c>
      <c r="D546" s="416">
        <v>20.077999999999999</v>
      </c>
    </row>
    <row r="547" spans="1:7" s="81" customFormat="1" ht="15" customHeight="1" x14ac:dyDescent="0.25">
      <c r="A547" s="103"/>
      <c r="B547" s="413"/>
      <c r="C547" s="414" t="s">
        <v>1277</v>
      </c>
      <c r="D547" s="416">
        <v>16.607999999999997</v>
      </c>
    </row>
    <row r="548" spans="1:7" s="81" customFormat="1" ht="15" customHeight="1" x14ac:dyDescent="0.25">
      <c r="A548" s="103"/>
      <c r="B548" s="413"/>
      <c r="C548" s="414" t="s">
        <v>1086</v>
      </c>
      <c r="D548" s="416">
        <v>38.905999999999992</v>
      </c>
    </row>
    <row r="549" spans="1:7" s="81" customFormat="1" ht="15" customHeight="1" x14ac:dyDescent="0.25">
      <c r="A549" s="103"/>
      <c r="B549" s="413"/>
      <c r="C549" s="414" t="s">
        <v>1290</v>
      </c>
      <c r="D549" s="416">
        <v>36.012999999999998</v>
      </c>
    </row>
    <row r="550" spans="1:7" s="81" customFormat="1" ht="15" customHeight="1" x14ac:dyDescent="0.25">
      <c r="A550" s="103"/>
      <c r="B550" s="413"/>
      <c r="C550" s="414" t="s">
        <v>1291</v>
      </c>
      <c r="D550" s="416">
        <v>56.414000000000001</v>
      </c>
    </row>
    <row r="551" spans="1:7" s="81" customFormat="1" ht="15" customHeight="1" x14ac:dyDescent="0.25">
      <c r="A551" s="103"/>
      <c r="B551" s="413"/>
      <c r="C551" s="414" t="s">
        <v>1292</v>
      </c>
      <c r="D551" s="416">
        <v>29.648999999999997</v>
      </c>
    </row>
    <row r="552" spans="1:7" s="81" customFormat="1" ht="15" customHeight="1" x14ac:dyDescent="0.25">
      <c r="A552" s="103"/>
      <c r="B552" s="413" t="s">
        <v>1293</v>
      </c>
      <c r="C552" s="414" t="s">
        <v>815</v>
      </c>
      <c r="D552" s="416">
        <v>60.551000000000002</v>
      </c>
    </row>
    <row r="553" spans="1:7" s="81" customFormat="1" ht="15" customHeight="1" x14ac:dyDescent="0.25">
      <c r="A553" s="103"/>
      <c r="B553" s="413"/>
      <c r="C553" s="414" t="s">
        <v>818</v>
      </c>
      <c r="D553" s="416">
        <v>15.16</v>
      </c>
    </row>
    <row r="554" spans="1:7" s="81" customFormat="1" ht="15" customHeight="1" x14ac:dyDescent="0.25">
      <c r="A554" s="103"/>
      <c r="B554" s="413"/>
      <c r="C554" s="414" t="s">
        <v>819</v>
      </c>
      <c r="D554" s="416">
        <v>77.225999999999985</v>
      </c>
    </row>
    <row r="555" spans="1:7" s="81" customFormat="1" ht="15" customHeight="1" x14ac:dyDescent="0.25">
      <c r="A555" s="103"/>
      <c r="B555" s="413" t="s">
        <v>1294</v>
      </c>
      <c r="C555" s="414" t="s">
        <v>1295</v>
      </c>
      <c r="D555" s="416">
        <v>22.171999999999997</v>
      </c>
    </row>
    <row r="556" spans="1:7" s="81" customFormat="1" x14ac:dyDescent="0.25">
      <c r="A556" s="103"/>
      <c r="B556" s="413"/>
      <c r="C556" s="414" t="s">
        <v>1272</v>
      </c>
      <c r="D556" s="416">
        <v>766.69500000000005</v>
      </c>
    </row>
    <row r="557" spans="1:7" s="81" customFormat="1" x14ac:dyDescent="0.25">
      <c r="A557" s="103"/>
      <c r="B557" s="413"/>
      <c r="C557" s="414" t="s">
        <v>1277</v>
      </c>
      <c r="D557" s="416">
        <v>16.501999999999999</v>
      </c>
    </row>
    <row r="558" spans="1:7" s="81" customFormat="1" ht="15" customHeight="1" x14ac:dyDescent="0.25">
      <c r="A558" s="103"/>
      <c r="B558" s="413"/>
      <c r="C558" s="414" t="s">
        <v>1278</v>
      </c>
      <c r="D558" s="416">
        <v>35.350000000000009</v>
      </c>
    </row>
    <row r="559" spans="1:7" s="81" customFormat="1" ht="15" customHeight="1" x14ac:dyDescent="0.25">
      <c r="A559" s="103"/>
      <c r="B559" s="413"/>
      <c r="C559" s="414" t="s">
        <v>1296</v>
      </c>
      <c r="D559" s="416">
        <v>26.584</v>
      </c>
    </row>
    <row r="560" spans="1:7" s="81" customFormat="1" x14ac:dyDescent="0.25">
      <c r="A560" s="103"/>
      <c r="B560" s="413"/>
      <c r="C560" s="414" t="s">
        <v>1297</v>
      </c>
      <c r="D560" s="416">
        <v>53.904000000000003</v>
      </c>
      <c r="G560" s="82"/>
    </row>
    <row r="561" spans="1:4" s="81" customFormat="1" ht="15" customHeight="1" x14ac:dyDescent="0.25">
      <c r="A561" s="103"/>
      <c r="B561" s="413" t="s">
        <v>1298</v>
      </c>
      <c r="C561" s="414" t="s">
        <v>900</v>
      </c>
      <c r="D561" s="416">
        <v>11.173999999999999</v>
      </c>
    </row>
    <row r="562" spans="1:4" s="81" customFormat="1" ht="15" customHeight="1" x14ac:dyDescent="0.25">
      <c r="A562" s="103"/>
      <c r="B562" s="413" t="s">
        <v>1299</v>
      </c>
      <c r="C562" s="414" t="s">
        <v>1300</v>
      </c>
      <c r="D562" s="416">
        <v>21.596999999999998</v>
      </c>
    </row>
    <row r="563" spans="1:4" s="81" customFormat="1" ht="15" customHeight="1" x14ac:dyDescent="0.25">
      <c r="A563" s="103"/>
      <c r="B563" s="413"/>
      <c r="C563" s="414" t="s">
        <v>798</v>
      </c>
      <c r="D563" s="416">
        <v>54.914000000000009</v>
      </c>
    </row>
    <row r="564" spans="1:4" s="81" customFormat="1" x14ac:dyDescent="0.25">
      <c r="A564" s="103"/>
      <c r="B564" s="413" t="s">
        <v>1301</v>
      </c>
      <c r="C564" s="414" t="s">
        <v>1302</v>
      </c>
      <c r="D564" s="416">
        <v>9.5389999999999997</v>
      </c>
    </row>
    <row r="565" spans="1:4" s="81" customFormat="1" ht="15" customHeight="1" x14ac:dyDescent="0.25">
      <c r="A565" s="103"/>
      <c r="B565" s="413" t="s">
        <v>1303</v>
      </c>
      <c r="C565" s="414" t="s">
        <v>1304</v>
      </c>
      <c r="D565" s="416">
        <v>7.0020000000000007</v>
      </c>
    </row>
    <row r="566" spans="1:4" s="81" customFormat="1" ht="15" customHeight="1" x14ac:dyDescent="0.25">
      <c r="A566" s="103"/>
      <c r="B566" s="413"/>
      <c r="C566" s="414" t="s">
        <v>798</v>
      </c>
      <c r="D566" s="416">
        <v>37.754000000000005</v>
      </c>
    </row>
    <row r="567" spans="1:4" s="81" customFormat="1" x14ac:dyDescent="0.25">
      <c r="A567" s="103"/>
      <c r="B567" s="413" t="s">
        <v>1305</v>
      </c>
      <c r="C567" s="414" t="s">
        <v>1306</v>
      </c>
      <c r="D567" s="416">
        <v>16.677</v>
      </c>
    </row>
    <row r="568" spans="1:4" s="81" customFormat="1" ht="15" customHeight="1" x14ac:dyDescent="0.25">
      <c r="A568" s="103"/>
      <c r="B568" s="413" t="s">
        <v>1307</v>
      </c>
      <c r="C568" s="414" t="s">
        <v>1308</v>
      </c>
      <c r="D568" s="416">
        <v>593.74799999999993</v>
      </c>
    </row>
    <row r="569" spans="1:4" s="81" customFormat="1" ht="15" customHeight="1" x14ac:dyDescent="0.25">
      <c r="A569" s="103"/>
      <c r="B569" s="413" t="s">
        <v>1309</v>
      </c>
      <c r="C569" s="414" t="s">
        <v>1272</v>
      </c>
      <c r="D569" s="416">
        <v>39.693000000000005</v>
      </c>
    </row>
    <row r="570" spans="1:4" s="81" customFormat="1" x14ac:dyDescent="0.25">
      <c r="A570" s="103"/>
      <c r="B570" s="413"/>
      <c r="C570" s="414" t="s">
        <v>1289</v>
      </c>
      <c r="D570" s="416">
        <v>5.093</v>
      </c>
    </row>
    <row r="571" spans="1:4" s="81" customFormat="1" x14ac:dyDescent="0.25">
      <c r="A571" s="103"/>
      <c r="B571" s="413"/>
      <c r="C571" s="414" t="s">
        <v>1274</v>
      </c>
      <c r="D571" s="416">
        <v>463.71600000000001</v>
      </c>
    </row>
    <row r="572" spans="1:4" s="81" customFormat="1" ht="15" customHeight="1" x14ac:dyDescent="0.25">
      <c r="A572" s="103"/>
      <c r="B572" s="413"/>
      <c r="C572" s="414" t="s">
        <v>1277</v>
      </c>
      <c r="D572" s="416">
        <v>147.876</v>
      </c>
    </row>
    <row r="573" spans="1:4" s="81" customFormat="1" x14ac:dyDescent="0.25">
      <c r="A573" s="103"/>
      <c r="B573" s="413"/>
      <c r="C573" s="414" t="s">
        <v>1086</v>
      </c>
      <c r="D573" s="416">
        <v>1237.672</v>
      </c>
    </row>
    <row r="574" spans="1:4" s="81" customFormat="1" x14ac:dyDescent="0.25">
      <c r="A574" s="103"/>
      <c r="B574" s="413"/>
      <c r="C574" s="414" t="s">
        <v>820</v>
      </c>
      <c r="D574" s="416">
        <v>749.1579999999999</v>
      </c>
    </row>
    <row r="575" spans="1:4" s="81" customFormat="1" ht="15" customHeight="1" x14ac:dyDescent="0.25">
      <c r="A575" s="103"/>
      <c r="B575" s="413"/>
      <c r="C575" s="414" t="s">
        <v>1278</v>
      </c>
      <c r="D575" s="416">
        <v>354.28600000000006</v>
      </c>
    </row>
    <row r="576" spans="1:4" s="81" customFormat="1" ht="15" customHeight="1" x14ac:dyDescent="0.25">
      <c r="A576" s="103"/>
      <c r="B576" s="413"/>
      <c r="C576" s="414" t="s">
        <v>1310</v>
      </c>
      <c r="D576" s="416">
        <v>35.777999999999992</v>
      </c>
    </row>
    <row r="577" spans="1:6" s="81" customFormat="1" x14ac:dyDescent="0.25">
      <c r="A577" s="103"/>
      <c r="B577" s="413"/>
      <c r="C577" s="414" t="s">
        <v>1302</v>
      </c>
      <c r="D577" s="416">
        <v>1240.4150000000011</v>
      </c>
    </row>
    <row r="578" spans="1:6" s="81" customFormat="1" x14ac:dyDescent="0.25">
      <c r="A578" s="103"/>
      <c r="B578" s="413"/>
      <c r="C578" s="414" t="s">
        <v>1181</v>
      </c>
      <c r="D578" s="416">
        <v>56.7</v>
      </c>
    </row>
    <row r="579" spans="1:6" s="81" customFormat="1" x14ac:dyDescent="0.25">
      <c r="A579" s="103"/>
      <c r="B579" s="413" t="s">
        <v>1311</v>
      </c>
      <c r="C579" s="414" t="s">
        <v>1280</v>
      </c>
      <c r="D579" s="416">
        <v>41.154000000000011</v>
      </c>
    </row>
    <row r="580" spans="1:6" s="81" customFormat="1" ht="15" customHeight="1" x14ac:dyDescent="0.25">
      <c r="A580" s="103"/>
      <c r="B580" s="413" t="s">
        <v>1312</v>
      </c>
      <c r="C580" s="414" t="s">
        <v>1313</v>
      </c>
      <c r="D580" s="416">
        <v>37.762000000000008</v>
      </c>
    </row>
    <row r="581" spans="1:6" s="81" customFormat="1" ht="15" customHeight="1" x14ac:dyDescent="0.25">
      <c r="A581" s="103"/>
      <c r="B581" s="413"/>
      <c r="C581" s="414" t="s">
        <v>1314</v>
      </c>
      <c r="D581" s="416">
        <v>80.623999999999981</v>
      </c>
    </row>
    <row r="582" spans="1:6" s="81" customFormat="1" x14ac:dyDescent="0.25">
      <c r="A582" s="103"/>
      <c r="B582" s="413" t="s">
        <v>1315</v>
      </c>
      <c r="C582" s="414" t="s">
        <v>1300</v>
      </c>
      <c r="D582" s="416">
        <v>42.654000000000003</v>
      </c>
    </row>
    <row r="583" spans="1:6" s="81" customFormat="1" ht="15" customHeight="1" x14ac:dyDescent="0.25">
      <c r="A583" s="103"/>
      <c r="B583" s="413"/>
      <c r="C583" s="414" t="s">
        <v>1306</v>
      </c>
      <c r="D583" s="416">
        <v>207.49799999999993</v>
      </c>
    </row>
    <row r="584" spans="1:6" s="81" customFormat="1" x14ac:dyDescent="0.25">
      <c r="A584" s="103"/>
      <c r="B584" s="413"/>
      <c r="C584" s="414" t="s">
        <v>1291</v>
      </c>
      <c r="D584" s="416">
        <v>4261.9569999999994</v>
      </c>
    </row>
    <row r="585" spans="1:6" s="81" customFormat="1" x14ac:dyDescent="0.25">
      <c r="A585" s="103"/>
      <c r="B585" s="413"/>
      <c r="C585" s="414" t="s">
        <v>1316</v>
      </c>
      <c r="D585" s="416">
        <v>2.6120000000000001</v>
      </c>
    </row>
    <row r="586" spans="1:6" s="81" customFormat="1" x14ac:dyDescent="0.25">
      <c r="A586" s="103"/>
      <c r="B586" s="413" t="s">
        <v>1317</v>
      </c>
      <c r="C586" s="414" t="s">
        <v>879</v>
      </c>
      <c r="D586" s="416">
        <v>126.681</v>
      </c>
    </row>
    <row r="587" spans="1:6" s="81" customFormat="1" ht="15" customHeight="1" x14ac:dyDescent="0.25">
      <c r="A587" s="103"/>
      <c r="B587" s="413" t="s">
        <v>1318</v>
      </c>
      <c r="C587" s="414" t="s">
        <v>1319</v>
      </c>
      <c r="D587" s="416">
        <v>1.89</v>
      </c>
    </row>
    <row r="588" spans="1:6" s="81" customFormat="1" ht="15" customHeight="1" x14ac:dyDescent="0.25">
      <c r="A588" s="103"/>
      <c r="B588" s="413" t="s">
        <v>1320</v>
      </c>
      <c r="C588" s="414" t="s">
        <v>1321</v>
      </c>
      <c r="D588" s="416">
        <v>795.64699999999993</v>
      </c>
    </row>
    <row r="589" spans="1:6" s="81" customFormat="1" x14ac:dyDescent="0.25">
      <c r="A589" s="103"/>
      <c r="B589" s="413" t="s">
        <v>1322</v>
      </c>
      <c r="C589" s="414" t="s">
        <v>1323</v>
      </c>
      <c r="D589" s="416">
        <v>303.97299999999996</v>
      </c>
      <c r="F589" s="82"/>
    </row>
    <row r="590" spans="1:6" s="81" customFormat="1" ht="15" customHeight="1" x14ac:dyDescent="0.25">
      <c r="A590" s="103"/>
      <c r="B590" s="413"/>
      <c r="C590" s="414" t="s">
        <v>986</v>
      </c>
      <c r="D590" s="416">
        <v>76.560999999999993</v>
      </c>
    </row>
    <row r="591" spans="1:6" s="81" customFormat="1" x14ac:dyDescent="0.25">
      <c r="A591" s="103"/>
      <c r="B591" s="413"/>
      <c r="C591" s="414" t="s">
        <v>1321</v>
      </c>
      <c r="D591" s="416">
        <v>141.29500000000002</v>
      </c>
    </row>
    <row r="592" spans="1:6" s="81" customFormat="1" ht="15" customHeight="1" x14ac:dyDescent="0.25">
      <c r="A592" s="103"/>
      <c r="B592" s="413"/>
      <c r="C592" s="414" t="s">
        <v>1324</v>
      </c>
      <c r="D592" s="416">
        <v>200.75500000000002</v>
      </c>
    </row>
    <row r="593" spans="1:4" s="81" customFormat="1" x14ac:dyDescent="0.25">
      <c r="A593" s="103"/>
      <c r="B593" s="413"/>
      <c r="C593" s="414" t="s">
        <v>1325</v>
      </c>
      <c r="D593" s="416">
        <v>291.80099999999976</v>
      </c>
    </row>
    <row r="594" spans="1:4" s="81" customFormat="1" x14ac:dyDescent="0.25">
      <c r="A594" s="103"/>
      <c r="B594" s="413"/>
      <c r="C594" s="414" t="s">
        <v>1326</v>
      </c>
      <c r="D594" s="416">
        <v>19.707999999999998</v>
      </c>
    </row>
    <row r="595" spans="1:4" s="81" customFormat="1" ht="12" customHeight="1" x14ac:dyDescent="0.25">
      <c r="A595" s="103"/>
      <c r="B595" s="413"/>
      <c r="C595" s="414" t="s">
        <v>1327</v>
      </c>
      <c r="D595" s="416">
        <v>322.45699999999988</v>
      </c>
    </row>
    <row r="596" spans="1:4" s="81" customFormat="1" ht="12" customHeight="1" x14ac:dyDescent="0.25">
      <c r="A596" s="103"/>
      <c r="B596" s="413" t="s">
        <v>1328</v>
      </c>
      <c r="C596" s="414" t="s">
        <v>1321</v>
      </c>
      <c r="D596" s="416">
        <v>4880.1370000000024</v>
      </c>
    </row>
    <row r="597" spans="1:4" s="81" customFormat="1" ht="12" customHeight="1" x14ac:dyDescent="0.25">
      <c r="A597" s="103"/>
      <c r="B597" s="413" t="s">
        <v>1329</v>
      </c>
      <c r="C597" s="414" t="s">
        <v>1330</v>
      </c>
      <c r="D597" s="416">
        <v>9.76</v>
      </c>
    </row>
    <row r="598" spans="1:4" s="81" customFormat="1" ht="12" customHeight="1" x14ac:dyDescent="0.25">
      <c r="A598" s="103"/>
      <c r="B598" s="413"/>
      <c r="C598" s="414" t="s">
        <v>1331</v>
      </c>
      <c r="D598" s="416">
        <v>112.622</v>
      </c>
    </row>
    <row r="599" spans="1:4" s="81" customFormat="1" ht="12" customHeight="1" x14ac:dyDescent="0.25">
      <c r="A599" s="103"/>
      <c r="B599" s="413" t="s">
        <v>1332</v>
      </c>
      <c r="C599" s="414" t="s">
        <v>1200</v>
      </c>
      <c r="D599" s="416">
        <v>148.92500000000001</v>
      </c>
    </row>
    <row r="600" spans="1:4" s="81" customFormat="1" ht="12" customHeight="1" x14ac:dyDescent="0.25">
      <c r="A600" s="103"/>
      <c r="B600" s="413"/>
      <c r="C600" s="414" t="s">
        <v>1258</v>
      </c>
      <c r="D600" s="416">
        <v>4952.2080000000024</v>
      </c>
    </row>
    <row r="601" spans="1:4" s="81" customFormat="1" ht="12" customHeight="1" x14ac:dyDescent="0.25">
      <c r="A601" s="103"/>
      <c r="B601" s="413" t="s">
        <v>1333</v>
      </c>
      <c r="C601" s="414" t="s">
        <v>1334</v>
      </c>
      <c r="D601" s="416">
        <v>719.70099999999979</v>
      </c>
    </row>
    <row r="602" spans="1:4" s="81" customFormat="1" ht="12" customHeight="1" x14ac:dyDescent="0.25">
      <c r="A602" s="103"/>
      <c r="B602" s="413"/>
      <c r="C602" s="414" t="s">
        <v>1335</v>
      </c>
      <c r="D602" s="416">
        <v>145.09700000000004</v>
      </c>
    </row>
    <row r="603" spans="1:4" s="81" customFormat="1" ht="12" customHeight="1" x14ac:dyDescent="0.25">
      <c r="A603" s="103"/>
      <c r="B603" s="413"/>
      <c r="C603" s="414" t="s">
        <v>1258</v>
      </c>
      <c r="D603" s="416">
        <v>0.63400000000000001</v>
      </c>
    </row>
    <row r="604" spans="1:4" s="81" customFormat="1" ht="12" customHeight="1" x14ac:dyDescent="0.25">
      <c r="A604" s="103"/>
      <c r="B604" s="413"/>
      <c r="C604" s="414" t="s">
        <v>1336</v>
      </c>
      <c r="D604" s="416">
        <v>15.068000000000001</v>
      </c>
    </row>
    <row r="605" spans="1:4" s="81" customFormat="1" ht="12" customHeight="1" x14ac:dyDescent="0.25">
      <c r="A605" s="103"/>
      <c r="B605" s="413" t="s">
        <v>1337</v>
      </c>
      <c r="C605" s="414" t="s">
        <v>1338</v>
      </c>
      <c r="D605" s="416">
        <v>7.4050000000000002</v>
      </c>
    </row>
    <row r="606" spans="1:4" s="81" customFormat="1" ht="12" customHeight="1" x14ac:dyDescent="0.25">
      <c r="A606" s="103"/>
      <c r="B606" s="413"/>
      <c r="C606" s="414" t="s">
        <v>1339</v>
      </c>
      <c r="D606" s="416">
        <v>18.493999999999996</v>
      </c>
    </row>
    <row r="607" spans="1:4" s="81" customFormat="1" ht="12" customHeight="1" x14ac:dyDescent="0.25">
      <c r="A607" s="103"/>
      <c r="B607" s="413"/>
      <c r="C607" s="414" t="s">
        <v>1167</v>
      </c>
      <c r="D607" s="416">
        <v>144.96999999999997</v>
      </c>
    </row>
    <row r="608" spans="1:4" s="81" customFormat="1" ht="12" customHeight="1" x14ac:dyDescent="0.25">
      <c r="A608" s="103"/>
      <c r="B608" s="413"/>
      <c r="C608" s="414" t="s">
        <v>1340</v>
      </c>
      <c r="D608" s="416">
        <v>3.0859999999999999</v>
      </c>
    </row>
    <row r="609" spans="1:6" s="81" customFormat="1" ht="12" customHeight="1" x14ac:dyDescent="0.25">
      <c r="A609" s="103"/>
      <c r="B609" s="413" t="s">
        <v>1341</v>
      </c>
      <c r="C609" s="414" t="s">
        <v>1167</v>
      </c>
      <c r="D609" s="416">
        <v>27.326999999999995</v>
      </c>
    </row>
    <row r="610" spans="1:6" s="81" customFormat="1" ht="12" customHeight="1" x14ac:dyDescent="0.25">
      <c r="A610" s="103"/>
      <c r="B610" s="413" t="s">
        <v>1342</v>
      </c>
      <c r="C610" s="414" t="s">
        <v>1338</v>
      </c>
      <c r="D610" s="416">
        <v>21.959000000000003</v>
      </c>
    </row>
    <row r="611" spans="1:6" s="81" customFormat="1" ht="12" customHeight="1" x14ac:dyDescent="0.25">
      <c r="A611" s="103"/>
      <c r="B611" s="413"/>
      <c r="C611" s="414" t="s">
        <v>1167</v>
      </c>
      <c r="D611" s="416">
        <v>85.86</v>
      </c>
    </row>
    <row r="612" spans="1:6" s="81" customFormat="1" ht="12" customHeight="1" x14ac:dyDescent="0.25">
      <c r="A612" s="103"/>
      <c r="B612" s="413"/>
      <c r="C612" s="414" t="s">
        <v>1340</v>
      </c>
      <c r="D612" s="416">
        <v>63.531999999999975</v>
      </c>
    </row>
    <row r="613" spans="1:6" s="81" customFormat="1" ht="12" customHeight="1" x14ac:dyDescent="0.25">
      <c r="A613" s="103"/>
      <c r="B613" s="413"/>
      <c r="C613" s="414" t="s">
        <v>1343</v>
      </c>
      <c r="D613" s="416">
        <v>18.451000000000001</v>
      </c>
    </row>
    <row r="614" spans="1:6" s="81" customFormat="1" ht="12" customHeight="1" x14ac:dyDescent="0.25">
      <c r="A614" s="103"/>
      <c r="B614" s="413"/>
      <c r="C614" s="414" t="s">
        <v>982</v>
      </c>
      <c r="D614" s="416">
        <v>105.31199999999997</v>
      </c>
    </row>
    <row r="615" spans="1:6" s="81" customFormat="1" ht="12" customHeight="1" x14ac:dyDescent="0.25">
      <c r="A615" s="103"/>
      <c r="B615" s="413" t="s">
        <v>1344</v>
      </c>
      <c r="C615" s="414" t="s">
        <v>1167</v>
      </c>
      <c r="D615" s="416">
        <v>3.3130000000000002</v>
      </c>
    </row>
    <row r="616" spans="1:6" s="81" customFormat="1" ht="12" customHeight="1" x14ac:dyDescent="0.25">
      <c r="A616" s="103"/>
      <c r="B616" s="413" t="s">
        <v>1345</v>
      </c>
      <c r="C616" s="414" t="s">
        <v>1167</v>
      </c>
      <c r="D616" s="416">
        <v>37.680999999999997</v>
      </c>
    </row>
    <row r="617" spans="1:6" s="81" customFormat="1" ht="12" customHeight="1" x14ac:dyDescent="0.25">
      <c r="A617" s="103"/>
      <c r="B617" s="413" t="s">
        <v>1346</v>
      </c>
      <c r="C617" s="414" t="s">
        <v>1347</v>
      </c>
      <c r="D617" s="416">
        <v>4.915</v>
      </c>
    </row>
    <row r="618" spans="1:6" s="81" customFormat="1" ht="12" customHeight="1" x14ac:dyDescent="0.25">
      <c r="A618" s="103"/>
      <c r="B618" s="413"/>
      <c r="C618" s="414" t="s">
        <v>1052</v>
      </c>
      <c r="D618" s="416">
        <v>13.043000000000001</v>
      </c>
      <c r="F618" s="82"/>
    </row>
    <row r="619" spans="1:6" s="81" customFormat="1" ht="12" customHeight="1" x14ac:dyDescent="0.25">
      <c r="A619" s="103"/>
      <c r="B619" s="413" t="s">
        <v>1348</v>
      </c>
      <c r="C619" s="414" t="s">
        <v>1231</v>
      </c>
      <c r="D619" s="416">
        <v>725.68399999999963</v>
      </c>
    </row>
    <row r="620" spans="1:6" s="81" customFormat="1" ht="12" customHeight="1" x14ac:dyDescent="0.25">
      <c r="A620" s="103"/>
      <c r="B620" s="413"/>
      <c r="C620" s="414" t="s">
        <v>1248</v>
      </c>
      <c r="D620" s="416">
        <v>7911.271999999999</v>
      </c>
    </row>
    <row r="621" spans="1:6" s="81" customFormat="1" ht="12" customHeight="1" x14ac:dyDescent="0.25">
      <c r="A621" s="103"/>
      <c r="B621" s="413"/>
      <c r="C621" s="414" t="s">
        <v>1349</v>
      </c>
      <c r="D621" s="416">
        <v>1342.1870000000006</v>
      </c>
    </row>
    <row r="622" spans="1:6" s="81" customFormat="1" ht="12" customHeight="1" x14ac:dyDescent="0.25">
      <c r="A622" s="103"/>
      <c r="B622" s="413"/>
      <c r="C622" s="414" t="s">
        <v>1012</v>
      </c>
      <c r="D622" s="416">
        <v>808.67799999999988</v>
      </c>
    </row>
    <row r="623" spans="1:6" s="81" customFormat="1" ht="12" customHeight="1" x14ac:dyDescent="0.25">
      <c r="A623" s="103"/>
      <c r="B623" s="413" t="s">
        <v>1350</v>
      </c>
      <c r="C623" s="414" t="s">
        <v>1012</v>
      </c>
      <c r="D623" s="416">
        <v>4.181</v>
      </c>
    </row>
    <row r="624" spans="1:6" s="81" customFormat="1" ht="12" customHeight="1" x14ac:dyDescent="0.25">
      <c r="A624" s="103"/>
      <c r="B624" s="413" t="s">
        <v>1351</v>
      </c>
      <c r="C624" s="414" t="s">
        <v>1352</v>
      </c>
      <c r="D624" s="416">
        <v>22.701999999999998</v>
      </c>
    </row>
    <row r="625" spans="1:4" s="81" customFormat="1" ht="12" customHeight="1" x14ac:dyDescent="0.25">
      <c r="A625" s="103"/>
      <c r="B625" s="413"/>
      <c r="C625" s="414" t="s">
        <v>1353</v>
      </c>
      <c r="D625" s="416">
        <v>44.980999999999995</v>
      </c>
    </row>
    <row r="626" spans="1:4" s="81" customFormat="1" ht="12" customHeight="1" x14ac:dyDescent="0.25">
      <c r="A626" s="103"/>
      <c r="B626" s="413"/>
      <c r="C626" s="414" t="s">
        <v>1354</v>
      </c>
      <c r="D626" s="416">
        <v>132.03299999999996</v>
      </c>
    </row>
    <row r="627" spans="1:4" s="81" customFormat="1" ht="12" customHeight="1" x14ac:dyDescent="0.25">
      <c r="A627" s="103"/>
      <c r="B627" s="413" t="s">
        <v>1355</v>
      </c>
      <c r="C627" s="414" t="s">
        <v>1356</v>
      </c>
      <c r="D627" s="416">
        <v>83.560000000000031</v>
      </c>
    </row>
    <row r="628" spans="1:4" s="81" customFormat="1" ht="12" customHeight="1" x14ac:dyDescent="0.25">
      <c r="A628" s="103"/>
      <c r="B628" s="413" t="s">
        <v>1357</v>
      </c>
      <c r="C628" s="414" t="s">
        <v>830</v>
      </c>
      <c r="D628" s="416">
        <v>16.326999999999998</v>
      </c>
    </row>
    <row r="629" spans="1:4" s="81" customFormat="1" ht="12" customHeight="1" x14ac:dyDescent="0.25">
      <c r="A629" s="103"/>
      <c r="B629" s="413"/>
      <c r="C629" s="414" t="s">
        <v>1358</v>
      </c>
      <c r="D629" s="416">
        <v>257.23099999999999</v>
      </c>
    </row>
    <row r="630" spans="1:4" s="81" customFormat="1" ht="12" customHeight="1" x14ac:dyDescent="0.25">
      <c r="A630" s="103"/>
      <c r="B630" s="413"/>
      <c r="C630" s="414" t="s">
        <v>1359</v>
      </c>
      <c r="D630" s="416">
        <v>51.201000000000008</v>
      </c>
    </row>
    <row r="631" spans="1:4" s="81" customFormat="1" ht="12" customHeight="1" x14ac:dyDescent="0.25">
      <c r="A631" s="103"/>
      <c r="B631" s="413"/>
      <c r="C631" s="414" t="s">
        <v>1360</v>
      </c>
      <c r="D631" s="416">
        <v>161.59599999999995</v>
      </c>
    </row>
    <row r="632" spans="1:4" s="81" customFormat="1" ht="12" customHeight="1" x14ac:dyDescent="0.25">
      <c r="A632" s="103"/>
      <c r="B632" s="413" t="s">
        <v>1361</v>
      </c>
      <c r="C632" s="414" t="s">
        <v>805</v>
      </c>
      <c r="D632" s="416">
        <v>15.32</v>
      </c>
    </row>
    <row r="633" spans="1:4" s="81" customFormat="1" ht="12" customHeight="1" x14ac:dyDescent="0.25">
      <c r="A633" s="103"/>
      <c r="B633" s="413" t="s">
        <v>1362</v>
      </c>
      <c r="C633" s="414" t="s">
        <v>974</v>
      </c>
      <c r="D633" s="416">
        <v>10.525</v>
      </c>
    </row>
    <row r="634" spans="1:4" s="81" customFormat="1" ht="12" customHeight="1" x14ac:dyDescent="0.25">
      <c r="A634" s="103"/>
      <c r="B634" s="413"/>
      <c r="C634" s="414" t="s">
        <v>1035</v>
      </c>
      <c r="D634" s="416">
        <v>279.09099999999995</v>
      </c>
    </row>
    <row r="635" spans="1:4" s="81" customFormat="1" ht="12" customHeight="1" x14ac:dyDescent="0.25">
      <c r="A635" s="103"/>
      <c r="B635" s="413" t="s">
        <v>1363</v>
      </c>
      <c r="C635" s="414" t="s">
        <v>1364</v>
      </c>
      <c r="D635" s="416">
        <v>26.921000000000003</v>
      </c>
    </row>
    <row r="636" spans="1:4" s="81" customFormat="1" ht="12" customHeight="1" x14ac:dyDescent="0.25">
      <c r="A636" s="103"/>
      <c r="B636" s="413" t="s">
        <v>1365</v>
      </c>
      <c r="C636" s="414" t="s">
        <v>899</v>
      </c>
      <c r="D636" s="416">
        <v>6.4869999999999992</v>
      </c>
    </row>
    <row r="637" spans="1:4" s="81" customFormat="1" ht="12" customHeight="1" x14ac:dyDescent="0.25">
      <c r="A637" s="103"/>
      <c r="B637" s="413" t="s">
        <v>1366</v>
      </c>
      <c r="C637" s="414" t="s">
        <v>1367</v>
      </c>
      <c r="D637" s="416">
        <v>12.792</v>
      </c>
    </row>
    <row r="638" spans="1:4" s="81" customFormat="1" ht="12" customHeight="1" x14ac:dyDescent="0.25">
      <c r="A638" s="103"/>
      <c r="B638" s="413"/>
      <c r="C638" s="414" t="s">
        <v>1368</v>
      </c>
      <c r="D638" s="416">
        <v>0.61199999999999999</v>
      </c>
    </row>
    <row r="639" spans="1:4" s="81" customFormat="1" ht="12" customHeight="1" x14ac:dyDescent="0.25">
      <c r="A639" s="103"/>
      <c r="B639" s="413"/>
      <c r="C639" s="414" t="s">
        <v>1369</v>
      </c>
      <c r="D639" s="416">
        <v>357.49700000000013</v>
      </c>
    </row>
    <row r="640" spans="1:4" s="81" customFormat="1" ht="12" customHeight="1" x14ac:dyDescent="0.25">
      <c r="A640" s="103"/>
      <c r="B640" s="413"/>
      <c r="C640" s="414" t="s">
        <v>1370</v>
      </c>
      <c r="D640" s="416">
        <v>6.7729999999999997</v>
      </c>
    </row>
    <row r="641" spans="1:4" s="81" customFormat="1" ht="12" customHeight="1" x14ac:dyDescent="0.25">
      <c r="A641" s="103"/>
      <c r="B641" s="413"/>
      <c r="C641" s="414" t="s">
        <v>1371</v>
      </c>
      <c r="D641" s="416">
        <v>67.906999999999996</v>
      </c>
    </row>
    <row r="642" spans="1:4" s="81" customFormat="1" ht="12" customHeight="1" x14ac:dyDescent="0.25">
      <c r="A642" s="103"/>
      <c r="B642" s="413" t="s">
        <v>1372</v>
      </c>
      <c r="C642" s="414" t="s">
        <v>885</v>
      </c>
      <c r="D642" s="416">
        <v>215.05099999999999</v>
      </c>
    </row>
    <row r="643" spans="1:4" s="81" customFormat="1" ht="12" customHeight="1" x14ac:dyDescent="0.25">
      <c r="A643" s="103"/>
      <c r="B643" s="413" t="s">
        <v>1373</v>
      </c>
      <c r="C643" s="414" t="s">
        <v>1019</v>
      </c>
      <c r="D643" s="416">
        <v>121.508</v>
      </c>
    </row>
    <row r="644" spans="1:4" s="81" customFormat="1" ht="12" customHeight="1" x14ac:dyDescent="0.25">
      <c r="A644" s="103"/>
      <c r="B644" s="413"/>
      <c r="C644" s="414" t="s">
        <v>1374</v>
      </c>
      <c r="D644" s="416">
        <v>102.70700000000001</v>
      </c>
    </row>
    <row r="645" spans="1:4" s="81" customFormat="1" ht="12" customHeight="1" x14ac:dyDescent="0.25">
      <c r="A645" s="103"/>
      <c r="B645" s="413" t="s">
        <v>1375</v>
      </c>
      <c r="C645" s="414" t="s">
        <v>974</v>
      </c>
      <c r="D645" s="416">
        <v>27.818999999999999</v>
      </c>
    </row>
    <row r="646" spans="1:4" s="81" customFormat="1" ht="12" customHeight="1" x14ac:dyDescent="0.25">
      <c r="A646" s="103"/>
      <c r="B646" s="413" t="s">
        <v>1376</v>
      </c>
      <c r="C646" s="414" t="s">
        <v>1377</v>
      </c>
      <c r="D646" s="416">
        <v>2.19</v>
      </c>
    </row>
    <row r="647" spans="1:4" s="81" customFormat="1" ht="12" customHeight="1" x14ac:dyDescent="0.25">
      <c r="A647" s="103"/>
      <c r="B647" s="413"/>
      <c r="C647" s="414" t="s">
        <v>1378</v>
      </c>
      <c r="D647" s="416">
        <v>19.088000000000001</v>
      </c>
    </row>
    <row r="648" spans="1:4" s="81" customFormat="1" ht="12" customHeight="1" x14ac:dyDescent="0.25">
      <c r="A648" s="103"/>
      <c r="B648" s="413"/>
      <c r="C648" s="414" t="s">
        <v>1379</v>
      </c>
      <c r="D648" s="416">
        <v>5.7889999999999997</v>
      </c>
    </row>
    <row r="649" spans="1:4" s="81" customFormat="1" ht="12" customHeight="1" x14ac:dyDescent="0.25">
      <c r="A649" s="103"/>
      <c r="B649" s="413"/>
      <c r="C649" s="414" t="s">
        <v>1380</v>
      </c>
      <c r="D649" s="416">
        <v>25.755999999999997</v>
      </c>
    </row>
    <row r="650" spans="1:4" s="81" customFormat="1" ht="12" customHeight="1" x14ac:dyDescent="0.25">
      <c r="A650" s="103"/>
      <c r="B650" s="413"/>
      <c r="C650" s="414" t="s">
        <v>1381</v>
      </c>
      <c r="D650" s="416">
        <v>11.917</v>
      </c>
    </row>
    <row r="651" spans="1:4" s="81" customFormat="1" ht="12" customHeight="1" x14ac:dyDescent="0.25">
      <c r="A651" s="103"/>
      <c r="B651" s="413" t="s">
        <v>1382</v>
      </c>
      <c r="C651" s="414" t="s">
        <v>1383</v>
      </c>
      <c r="D651" s="416">
        <v>10.698</v>
      </c>
    </row>
    <row r="652" spans="1:4" s="81" customFormat="1" ht="12" customHeight="1" x14ac:dyDescent="0.25">
      <c r="A652" s="103"/>
      <c r="B652" s="413"/>
      <c r="C652" s="414" t="s">
        <v>1330</v>
      </c>
      <c r="D652" s="416">
        <v>1259.9760000000001</v>
      </c>
    </row>
    <row r="653" spans="1:4" s="81" customFormat="1" ht="12" customHeight="1" x14ac:dyDescent="0.25">
      <c r="A653" s="103"/>
      <c r="B653" s="413"/>
      <c r="C653" s="414" t="s">
        <v>1384</v>
      </c>
      <c r="D653" s="416">
        <v>315.82000000000011</v>
      </c>
    </row>
    <row r="654" spans="1:4" s="81" customFormat="1" ht="12" customHeight="1" x14ac:dyDescent="0.25">
      <c r="A654" s="103"/>
      <c r="B654" s="413" t="s">
        <v>1385</v>
      </c>
      <c r="C654" s="414" t="s">
        <v>1386</v>
      </c>
      <c r="D654" s="416">
        <v>12.861000000000001</v>
      </c>
    </row>
    <row r="655" spans="1:4" s="81" customFormat="1" ht="12" customHeight="1" x14ac:dyDescent="0.25">
      <c r="A655" s="103"/>
      <c r="B655" s="413" t="s">
        <v>1387</v>
      </c>
      <c r="C655" s="414" t="s">
        <v>1246</v>
      </c>
      <c r="D655" s="416">
        <v>6.426000000000001</v>
      </c>
    </row>
    <row r="656" spans="1:4" s="81" customFormat="1" ht="12" customHeight="1" x14ac:dyDescent="0.25">
      <c r="A656" s="103"/>
      <c r="B656" s="413"/>
      <c r="C656" s="414" t="s">
        <v>1232</v>
      </c>
      <c r="D656" s="416">
        <v>8.5439999999999987</v>
      </c>
    </row>
    <row r="657" spans="1:7" s="81" customFormat="1" ht="12" customHeight="1" x14ac:dyDescent="0.25">
      <c r="A657" s="103"/>
      <c r="B657" s="413"/>
      <c r="C657" s="414" t="s">
        <v>910</v>
      </c>
      <c r="D657" s="416">
        <v>69.679000000000002</v>
      </c>
    </row>
    <row r="658" spans="1:7" s="81" customFormat="1" ht="12" customHeight="1" x14ac:dyDescent="0.25">
      <c r="A658" s="103"/>
      <c r="B658" s="413"/>
      <c r="C658" s="414" t="s">
        <v>1198</v>
      </c>
      <c r="D658" s="416">
        <v>3.2669999999999999</v>
      </c>
    </row>
    <row r="659" spans="1:7" s="81" customFormat="1" ht="12" customHeight="1" x14ac:dyDescent="0.25">
      <c r="A659" s="103"/>
      <c r="B659" s="413"/>
      <c r="C659" s="414" t="s">
        <v>1205</v>
      </c>
      <c r="D659" s="416">
        <v>62.435999999999986</v>
      </c>
    </row>
    <row r="660" spans="1:7" s="81" customFormat="1" ht="12" customHeight="1" x14ac:dyDescent="0.25">
      <c r="A660" s="103"/>
      <c r="B660" s="413"/>
      <c r="C660" s="414" t="s">
        <v>1193</v>
      </c>
      <c r="D660" s="416">
        <v>241.18799999999999</v>
      </c>
    </row>
    <row r="661" spans="1:7" s="81" customFormat="1" ht="12" customHeight="1" x14ac:dyDescent="0.25">
      <c r="A661" s="103"/>
      <c r="B661" s="413" t="s">
        <v>1388</v>
      </c>
      <c r="C661" s="414" t="s">
        <v>1205</v>
      </c>
      <c r="D661" s="416">
        <v>13.343999999999999</v>
      </c>
      <c r="G661" s="82"/>
    </row>
    <row r="662" spans="1:7" s="81" customFormat="1" ht="12" customHeight="1" x14ac:dyDescent="0.25">
      <c r="A662" s="103"/>
      <c r="B662" s="413" t="s">
        <v>1389</v>
      </c>
      <c r="C662" s="414" t="s">
        <v>1390</v>
      </c>
      <c r="D662" s="416">
        <v>84.942999999999998</v>
      </c>
    </row>
    <row r="663" spans="1:7" s="81" customFormat="1" ht="12" customHeight="1" x14ac:dyDescent="0.25">
      <c r="A663" s="103"/>
      <c r="B663" s="413" t="s">
        <v>1391</v>
      </c>
      <c r="C663" s="414" t="s">
        <v>1392</v>
      </c>
      <c r="D663" s="416">
        <v>20.440999999999999</v>
      </c>
    </row>
    <row r="664" spans="1:7" s="81" customFormat="1" ht="12" customHeight="1" x14ac:dyDescent="0.25">
      <c r="A664" s="103"/>
      <c r="B664" s="413" t="s">
        <v>1393</v>
      </c>
      <c r="C664" s="414" t="s">
        <v>1392</v>
      </c>
      <c r="D664" s="416">
        <v>21.756999999999998</v>
      </c>
    </row>
    <row r="665" spans="1:7" s="81" customFormat="1" ht="12" customHeight="1" x14ac:dyDescent="0.25">
      <c r="A665" s="103"/>
      <c r="B665" s="413"/>
      <c r="C665" s="414" t="s">
        <v>1394</v>
      </c>
      <c r="D665" s="416">
        <v>50.834000000000003</v>
      </c>
    </row>
    <row r="666" spans="1:7" s="81" customFormat="1" ht="12" customHeight="1" x14ac:dyDescent="0.25">
      <c r="A666" s="103"/>
      <c r="B666" s="413" t="s">
        <v>1395</v>
      </c>
      <c r="C666" s="414" t="s">
        <v>1114</v>
      </c>
      <c r="D666" s="416">
        <v>10.151</v>
      </c>
    </row>
    <row r="667" spans="1:7" s="81" customFormat="1" ht="12" customHeight="1" x14ac:dyDescent="0.25">
      <c r="A667" s="103"/>
      <c r="B667" s="413"/>
      <c r="C667" s="414" t="s">
        <v>1396</v>
      </c>
      <c r="D667" s="416">
        <v>44.166000000000004</v>
      </c>
    </row>
    <row r="668" spans="1:7" s="81" customFormat="1" ht="12" customHeight="1" x14ac:dyDescent="0.25">
      <c r="A668" s="103"/>
      <c r="B668" s="413" t="s">
        <v>1397</v>
      </c>
      <c r="C668" s="414" t="s">
        <v>1248</v>
      </c>
      <c r="D668" s="416">
        <v>3.7850000000000001</v>
      </c>
    </row>
    <row r="669" spans="1:7" s="81" customFormat="1" ht="12" customHeight="1" x14ac:dyDescent="0.25">
      <c r="A669" s="103"/>
      <c r="B669" s="413" t="s">
        <v>1398</v>
      </c>
      <c r="C669" s="414" t="s">
        <v>1248</v>
      </c>
      <c r="D669" s="416">
        <v>491.39200000000005</v>
      </c>
    </row>
    <row r="670" spans="1:7" s="81" customFormat="1" ht="12" customHeight="1" x14ac:dyDescent="0.25">
      <c r="A670" s="103"/>
      <c r="B670" s="413"/>
      <c r="C670" s="414" t="s">
        <v>1349</v>
      </c>
      <c r="D670" s="416">
        <v>1936.8209999999997</v>
      </c>
    </row>
    <row r="671" spans="1:7" s="81" customFormat="1" ht="12" customHeight="1" x14ac:dyDescent="0.25">
      <c r="A671" s="103"/>
      <c r="B671" s="413"/>
      <c r="C671" s="414" t="s">
        <v>1014</v>
      </c>
      <c r="D671" s="416">
        <v>345.92599999999993</v>
      </c>
    </row>
    <row r="672" spans="1:7" s="81" customFormat="1" ht="12" customHeight="1" x14ac:dyDescent="0.25">
      <c r="A672" s="103"/>
      <c r="B672" s="413"/>
      <c r="C672" s="414" t="s">
        <v>794</v>
      </c>
      <c r="D672" s="416">
        <v>15.231999999999999</v>
      </c>
    </row>
    <row r="673" spans="1:4" s="81" customFormat="1" ht="12" customHeight="1" x14ac:dyDescent="0.25">
      <c r="A673" s="103"/>
      <c r="B673" s="413"/>
      <c r="C673" s="414" t="s">
        <v>1399</v>
      </c>
      <c r="D673" s="416">
        <v>18.363</v>
      </c>
    </row>
    <row r="674" spans="1:4" s="81" customFormat="1" ht="12" customHeight="1" x14ac:dyDescent="0.25">
      <c r="A674" s="103"/>
      <c r="B674" s="413"/>
      <c r="C674" s="414" t="s">
        <v>1012</v>
      </c>
      <c r="D674" s="416">
        <v>426.73500000000013</v>
      </c>
    </row>
    <row r="675" spans="1:4" s="81" customFormat="1" ht="12" customHeight="1" x14ac:dyDescent="0.25">
      <c r="A675" s="103"/>
      <c r="B675" s="413" t="s">
        <v>1400</v>
      </c>
      <c r="C675" s="414" t="s">
        <v>1012</v>
      </c>
      <c r="D675" s="416">
        <v>188.38900000000001</v>
      </c>
    </row>
    <row r="676" spans="1:4" s="81" customFormat="1" ht="12" customHeight="1" x14ac:dyDescent="0.25">
      <c r="A676" s="103"/>
      <c r="B676" s="413" t="s">
        <v>1401</v>
      </c>
      <c r="C676" s="414" t="s">
        <v>794</v>
      </c>
      <c r="D676" s="416">
        <v>5.226</v>
      </c>
    </row>
    <row r="677" spans="1:4" s="81" customFormat="1" ht="12" customHeight="1" x14ac:dyDescent="0.25">
      <c r="A677" s="103"/>
      <c r="B677" s="413" t="s">
        <v>1402</v>
      </c>
      <c r="C677" s="414" t="s">
        <v>1403</v>
      </c>
      <c r="D677" s="416">
        <v>68.081999999999994</v>
      </c>
    </row>
    <row r="678" spans="1:4" s="81" customFormat="1" ht="12" customHeight="1" x14ac:dyDescent="0.25">
      <c r="A678" s="103"/>
      <c r="B678" s="413" t="s">
        <v>1404</v>
      </c>
      <c r="C678" s="414" t="s">
        <v>1370</v>
      </c>
      <c r="D678" s="416">
        <v>824.44699999999966</v>
      </c>
    </row>
    <row r="679" spans="1:4" s="81" customFormat="1" ht="12" customHeight="1" x14ac:dyDescent="0.25">
      <c r="A679" s="103"/>
      <c r="B679" s="413"/>
      <c r="C679" s="414" t="s">
        <v>1405</v>
      </c>
      <c r="D679" s="416">
        <v>22.451000000000001</v>
      </c>
    </row>
    <row r="680" spans="1:4" s="81" customFormat="1" ht="12" customHeight="1" x14ac:dyDescent="0.25">
      <c r="A680" s="103"/>
      <c r="B680" s="413" t="s">
        <v>1406</v>
      </c>
      <c r="C680" s="414" t="s">
        <v>1407</v>
      </c>
      <c r="D680" s="416">
        <v>6.4180000000000001</v>
      </c>
    </row>
    <row r="681" spans="1:4" s="81" customFormat="1" ht="12" customHeight="1" x14ac:dyDescent="0.25">
      <c r="A681" s="103"/>
      <c r="B681" s="413" t="s">
        <v>1408</v>
      </c>
      <c r="C681" s="414" t="s">
        <v>1399</v>
      </c>
      <c r="D681" s="416">
        <v>210.99800000000002</v>
      </c>
    </row>
    <row r="682" spans="1:4" s="81" customFormat="1" ht="12" customHeight="1" x14ac:dyDescent="0.25">
      <c r="A682" s="103"/>
      <c r="B682" s="413"/>
      <c r="C682" s="414" t="s">
        <v>1409</v>
      </c>
      <c r="D682" s="416">
        <v>24.065000000000001</v>
      </c>
    </row>
    <row r="683" spans="1:4" s="81" customFormat="1" ht="12" customHeight="1" x14ac:dyDescent="0.25">
      <c r="A683" s="103"/>
      <c r="B683" s="413" t="s">
        <v>1410</v>
      </c>
      <c r="C683" s="414" t="s">
        <v>801</v>
      </c>
      <c r="D683" s="416">
        <v>29.306999999999995</v>
      </c>
    </row>
    <row r="684" spans="1:4" s="81" customFormat="1" ht="12" customHeight="1" x14ac:dyDescent="0.25">
      <c r="A684" s="103"/>
      <c r="B684" s="413"/>
      <c r="C684" s="414" t="s">
        <v>1411</v>
      </c>
      <c r="D684" s="416">
        <v>4.6369999999999996</v>
      </c>
    </row>
    <row r="685" spans="1:4" s="81" customFormat="1" ht="12" customHeight="1" x14ac:dyDescent="0.25">
      <c r="A685" s="103"/>
      <c r="B685" s="413"/>
      <c r="C685" s="414" t="s">
        <v>1313</v>
      </c>
      <c r="D685" s="416">
        <v>112.679</v>
      </c>
    </row>
    <row r="686" spans="1:4" s="81" customFormat="1" ht="12" customHeight="1" x14ac:dyDescent="0.25">
      <c r="A686" s="103"/>
      <c r="B686" s="413"/>
      <c r="C686" s="414" t="s">
        <v>1412</v>
      </c>
      <c r="D686" s="416">
        <v>48.091999999999999</v>
      </c>
    </row>
    <row r="687" spans="1:4" s="81" customFormat="1" ht="12" customHeight="1" x14ac:dyDescent="0.25">
      <c r="A687" s="103"/>
      <c r="B687" s="413"/>
      <c r="C687" s="414" t="s">
        <v>1086</v>
      </c>
      <c r="D687" s="416">
        <v>15.75</v>
      </c>
    </row>
    <row r="688" spans="1:4" s="81" customFormat="1" ht="12" customHeight="1" x14ac:dyDescent="0.25">
      <c r="A688" s="103"/>
      <c r="B688" s="413"/>
      <c r="C688" s="414" t="s">
        <v>1279</v>
      </c>
      <c r="D688" s="416">
        <v>352.06199999999995</v>
      </c>
    </row>
    <row r="689" spans="1:4" s="81" customFormat="1" ht="12" customHeight="1" x14ac:dyDescent="0.25">
      <c r="A689" s="103"/>
      <c r="B689" s="413"/>
      <c r="C689" s="414" t="s">
        <v>1413</v>
      </c>
      <c r="D689" s="416">
        <v>520.5659999999998</v>
      </c>
    </row>
    <row r="690" spans="1:4" s="81" customFormat="1" ht="12" customHeight="1" x14ac:dyDescent="0.25">
      <c r="A690" s="103"/>
      <c r="B690" s="413"/>
      <c r="C690" s="414" t="s">
        <v>938</v>
      </c>
      <c r="D690" s="416">
        <v>77.650000000000006</v>
      </c>
    </row>
    <row r="691" spans="1:4" s="81" customFormat="1" ht="12" customHeight="1" x14ac:dyDescent="0.25">
      <c r="A691" s="103"/>
      <c r="B691" s="413" t="s">
        <v>1414</v>
      </c>
      <c r="C691" s="414" t="s">
        <v>1000</v>
      </c>
      <c r="D691" s="416">
        <v>44.358000000000011</v>
      </c>
    </row>
    <row r="692" spans="1:4" s="81" customFormat="1" ht="12" customHeight="1" x14ac:dyDescent="0.25">
      <c r="A692" s="103"/>
      <c r="B692" s="413" t="s">
        <v>1415</v>
      </c>
      <c r="C692" s="414" t="s">
        <v>1416</v>
      </c>
      <c r="D692" s="416">
        <v>427.6330000000001</v>
      </c>
    </row>
    <row r="693" spans="1:4" s="81" customFormat="1" ht="12" customHeight="1" x14ac:dyDescent="0.25">
      <c r="A693" s="103"/>
      <c r="B693" s="413" t="s">
        <v>1417</v>
      </c>
      <c r="C693" s="414" t="s">
        <v>1232</v>
      </c>
      <c r="D693" s="416">
        <v>4136.1700000000019</v>
      </c>
    </row>
    <row r="694" spans="1:4" s="81" customFormat="1" ht="12" customHeight="1" x14ac:dyDescent="0.25">
      <c r="A694" s="103"/>
      <c r="B694" s="413"/>
      <c r="C694" s="414" t="s">
        <v>1005</v>
      </c>
      <c r="D694" s="416">
        <v>7366.2500000000009</v>
      </c>
    </row>
    <row r="695" spans="1:4" s="81" customFormat="1" ht="12" customHeight="1" x14ac:dyDescent="0.25">
      <c r="A695" s="103"/>
      <c r="B695" s="413"/>
      <c r="C695" s="414" t="s">
        <v>1006</v>
      </c>
      <c r="D695" s="416">
        <v>35998.895000000055</v>
      </c>
    </row>
    <row r="696" spans="1:4" s="81" customFormat="1" ht="12" customHeight="1" x14ac:dyDescent="0.25">
      <c r="A696" s="103"/>
      <c r="B696" s="413" t="s">
        <v>1418</v>
      </c>
      <c r="C696" s="414" t="s">
        <v>1197</v>
      </c>
      <c r="D696" s="416">
        <v>13.938000000000002</v>
      </c>
    </row>
    <row r="697" spans="1:4" s="81" customFormat="1" ht="12" customHeight="1" x14ac:dyDescent="0.25">
      <c r="A697" s="103"/>
      <c r="B697" s="413" t="s">
        <v>1419</v>
      </c>
      <c r="C697" s="414" t="s">
        <v>867</v>
      </c>
      <c r="D697" s="416">
        <v>131.22</v>
      </c>
    </row>
    <row r="698" spans="1:4" s="81" customFormat="1" ht="12" customHeight="1" x14ac:dyDescent="0.25">
      <c r="A698" s="103"/>
      <c r="B698" s="413"/>
      <c r="C698" s="414" t="s">
        <v>869</v>
      </c>
      <c r="D698" s="416">
        <v>64.212999999999994</v>
      </c>
    </row>
    <row r="699" spans="1:4" s="81" customFormat="1" ht="12" customHeight="1" x14ac:dyDescent="0.25">
      <c r="A699" s="103"/>
      <c r="B699" s="413"/>
      <c r="C699" s="414" t="s">
        <v>1420</v>
      </c>
      <c r="D699" s="416">
        <v>38.454000000000008</v>
      </c>
    </row>
    <row r="700" spans="1:4" s="81" customFormat="1" ht="12" customHeight="1" x14ac:dyDescent="0.25">
      <c r="A700" s="103"/>
      <c r="B700" s="413"/>
      <c r="C700" s="414" t="s">
        <v>1421</v>
      </c>
      <c r="D700" s="416">
        <v>9.3659999999999997</v>
      </c>
    </row>
    <row r="701" spans="1:4" s="81" customFormat="1" ht="12" customHeight="1" x14ac:dyDescent="0.25">
      <c r="A701" s="103"/>
      <c r="B701" s="413"/>
      <c r="C701" s="414" t="s">
        <v>1422</v>
      </c>
      <c r="D701" s="416">
        <v>36.371000000000002</v>
      </c>
    </row>
    <row r="702" spans="1:4" s="81" customFormat="1" ht="12" customHeight="1" x14ac:dyDescent="0.25">
      <c r="A702" s="103"/>
      <c r="B702" s="413" t="s">
        <v>1423</v>
      </c>
      <c r="C702" s="414" t="s">
        <v>863</v>
      </c>
      <c r="D702" s="416">
        <v>74.822000000000003</v>
      </c>
    </row>
    <row r="703" spans="1:4" s="81" customFormat="1" ht="12" customHeight="1" x14ac:dyDescent="0.25">
      <c r="A703" s="103"/>
      <c r="B703" s="413"/>
      <c r="C703" s="414" t="s">
        <v>1424</v>
      </c>
      <c r="D703" s="416">
        <v>9.4059999999999988</v>
      </c>
    </row>
    <row r="704" spans="1:4" s="81" customFormat="1" ht="12" customHeight="1" x14ac:dyDescent="0.25">
      <c r="A704" s="103"/>
      <c r="B704" s="413" t="s">
        <v>1425</v>
      </c>
      <c r="C704" s="414" t="s">
        <v>1426</v>
      </c>
      <c r="D704" s="416">
        <v>134.80699999999999</v>
      </c>
    </row>
    <row r="705" spans="1:4" s="81" customFormat="1" ht="12" customHeight="1" x14ac:dyDescent="0.25">
      <c r="A705" s="103"/>
      <c r="B705" s="413"/>
      <c r="C705" s="414" t="s">
        <v>1427</v>
      </c>
      <c r="D705" s="416">
        <v>117.44200000000001</v>
      </c>
    </row>
    <row r="706" spans="1:4" s="81" customFormat="1" ht="12" customHeight="1" x14ac:dyDescent="0.25">
      <c r="A706" s="103"/>
      <c r="B706" s="413"/>
      <c r="C706" s="414" t="s">
        <v>1075</v>
      </c>
      <c r="D706" s="416">
        <v>3.8149999999999999</v>
      </c>
    </row>
    <row r="707" spans="1:4" s="81" customFormat="1" ht="12" customHeight="1" x14ac:dyDescent="0.25">
      <c r="A707" s="103"/>
      <c r="B707" s="413" t="s">
        <v>1428</v>
      </c>
      <c r="C707" s="414" t="s">
        <v>1429</v>
      </c>
      <c r="D707" s="416">
        <v>60.69</v>
      </c>
    </row>
    <row r="708" spans="1:4" s="81" customFormat="1" ht="12" customHeight="1" x14ac:dyDescent="0.25">
      <c r="A708" s="103"/>
      <c r="B708" s="413"/>
      <c r="C708" s="414" t="s">
        <v>1430</v>
      </c>
      <c r="D708" s="416">
        <v>163.65799999999999</v>
      </c>
    </row>
    <row r="709" spans="1:4" s="81" customFormat="1" ht="12" customHeight="1" x14ac:dyDescent="0.25">
      <c r="A709" s="103"/>
      <c r="B709" s="413"/>
      <c r="C709" s="414" t="s">
        <v>1431</v>
      </c>
      <c r="D709" s="416">
        <v>428.88300000000004</v>
      </c>
    </row>
    <row r="710" spans="1:4" s="81" customFormat="1" ht="12" customHeight="1" x14ac:dyDescent="0.25">
      <c r="A710" s="103"/>
      <c r="B710" s="413"/>
      <c r="C710" s="414" t="s">
        <v>1432</v>
      </c>
      <c r="D710" s="416">
        <v>733.13499999999976</v>
      </c>
    </row>
    <row r="711" spans="1:4" s="81" customFormat="1" ht="12" customHeight="1" x14ac:dyDescent="0.25">
      <c r="A711" s="103"/>
      <c r="B711" s="413"/>
      <c r="C711" s="414" t="s">
        <v>796</v>
      </c>
      <c r="D711" s="416">
        <v>909.45099999999991</v>
      </c>
    </row>
    <row r="712" spans="1:4" s="81" customFormat="1" ht="12" customHeight="1" x14ac:dyDescent="0.25">
      <c r="A712" s="103"/>
      <c r="B712" s="413"/>
      <c r="C712" s="414" t="s">
        <v>1090</v>
      </c>
      <c r="D712" s="416">
        <v>43.300000000000004</v>
      </c>
    </row>
    <row r="713" spans="1:4" s="81" customFormat="1" ht="12" customHeight="1" x14ac:dyDescent="0.25">
      <c r="A713" s="103"/>
      <c r="B713" s="413"/>
      <c r="C713" s="414" t="s">
        <v>1108</v>
      </c>
      <c r="D713" s="416">
        <v>39.674999999999997</v>
      </c>
    </row>
    <row r="714" spans="1:4" s="81" customFormat="1" ht="12" customHeight="1" x14ac:dyDescent="0.25">
      <c r="A714" s="103"/>
      <c r="B714" s="413"/>
      <c r="C714" s="414" t="s">
        <v>1433</v>
      </c>
      <c r="D714" s="416">
        <v>849.12899999999991</v>
      </c>
    </row>
    <row r="715" spans="1:4" s="81" customFormat="1" ht="12" customHeight="1" x14ac:dyDescent="0.25">
      <c r="A715" s="103"/>
      <c r="B715" s="413"/>
      <c r="C715" s="414" t="s">
        <v>1109</v>
      </c>
      <c r="D715" s="416">
        <v>2320.1970000000001</v>
      </c>
    </row>
    <row r="716" spans="1:4" s="81" customFormat="1" ht="12" customHeight="1" x14ac:dyDescent="0.25">
      <c r="A716" s="103"/>
      <c r="B716" s="413"/>
      <c r="C716" s="414" t="s">
        <v>1434</v>
      </c>
      <c r="D716" s="416">
        <v>241.88899999999998</v>
      </c>
    </row>
    <row r="717" spans="1:4" s="81" customFormat="1" ht="12" customHeight="1" x14ac:dyDescent="0.25">
      <c r="A717" s="103"/>
      <c r="B717" s="413"/>
      <c r="C717" s="414" t="s">
        <v>1435</v>
      </c>
      <c r="D717" s="416">
        <v>7727.510999999995</v>
      </c>
    </row>
    <row r="718" spans="1:4" s="81" customFormat="1" ht="12" customHeight="1" x14ac:dyDescent="0.25">
      <c r="A718" s="103"/>
      <c r="B718" s="413"/>
      <c r="C718" s="414" t="s">
        <v>1436</v>
      </c>
      <c r="D718" s="416">
        <v>99.425000000000011</v>
      </c>
    </row>
    <row r="719" spans="1:4" s="81" customFormat="1" ht="12" customHeight="1" x14ac:dyDescent="0.25">
      <c r="A719" s="103"/>
      <c r="B719" s="413"/>
      <c r="C719" s="414" t="s">
        <v>1189</v>
      </c>
      <c r="D719" s="416">
        <v>263.46600000000001</v>
      </c>
    </row>
    <row r="720" spans="1:4" s="81" customFormat="1" ht="12" customHeight="1" x14ac:dyDescent="0.25">
      <c r="A720" s="103"/>
      <c r="B720" s="413"/>
      <c r="C720" s="414" t="s">
        <v>1437</v>
      </c>
      <c r="D720" s="416">
        <v>12721.781999999988</v>
      </c>
    </row>
    <row r="721" spans="1:4" s="81" customFormat="1" ht="12" customHeight="1" x14ac:dyDescent="0.25">
      <c r="A721" s="103"/>
      <c r="B721" s="413"/>
      <c r="C721" s="414" t="s">
        <v>1438</v>
      </c>
      <c r="D721" s="416">
        <v>20.017000000000003</v>
      </c>
    </row>
    <row r="722" spans="1:4" s="81" customFormat="1" ht="12" customHeight="1" x14ac:dyDescent="0.25">
      <c r="A722" s="103"/>
      <c r="B722" s="413"/>
      <c r="C722" s="414" t="s">
        <v>1439</v>
      </c>
      <c r="D722" s="416">
        <v>10.875999999999999</v>
      </c>
    </row>
    <row r="723" spans="1:4" s="81" customFormat="1" ht="12" customHeight="1" x14ac:dyDescent="0.25">
      <c r="A723" s="103"/>
      <c r="B723" s="413"/>
      <c r="C723" s="414" t="s">
        <v>1440</v>
      </c>
      <c r="D723" s="416">
        <v>6381.5369999999994</v>
      </c>
    </row>
    <row r="724" spans="1:4" s="81" customFormat="1" ht="12" customHeight="1" x14ac:dyDescent="0.25">
      <c r="A724" s="103"/>
      <c r="B724" s="413"/>
      <c r="C724" s="414" t="s">
        <v>1441</v>
      </c>
      <c r="D724" s="416">
        <v>6.6849999999999996</v>
      </c>
    </row>
    <row r="725" spans="1:4" s="81" customFormat="1" ht="12" customHeight="1" x14ac:dyDescent="0.25">
      <c r="A725" s="103"/>
      <c r="B725" s="413"/>
      <c r="C725" s="414" t="s">
        <v>1442</v>
      </c>
      <c r="D725" s="416">
        <v>801.91599999999983</v>
      </c>
    </row>
    <row r="726" spans="1:4" s="81" customFormat="1" ht="12" customHeight="1" x14ac:dyDescent="0.25">
      <c r="A726" s="103"/>
      <c r="B726" s="413"/>
      <c r="C726" s="414" t="s">
        <v>1443</v>
      </c>
      <c r="D726" s="416">
        <v>65.068999999999988</v>
      </c>
    </row>
    <row r="727" spans="1:4" s="81" customFormat="1" ht="12" customHeight="1" x14ac:dyDescent="0.25">
      <c r="A727" s="103"/>
      <c r="B727" s="413"/>
      <c r="C727" s="414" t="s">
        <v>1444</v>
      </c>
      <c r="D727" s="416">
        <v>809.02700000000004</v>
      </c>
    </row>
    <row r="728" spans="1:4" s="81" customFormat="1" ht="12" customHeight="1" x14ac:dyDescent="0.25">
      <c r="A728" s="103"/>
      <c r="B728" s="413" t="s">
        <v>1445</v>
      </c>
      <c r="C728" s="414" t="s">
        <v>1433</v>
      </c>
      <c r="D728" s="416">
        <v>148.83199999999999</v>
      </c>
    </row>
    <row r="729" spans="1:4" s="81" customFormat="1" ht="12" customHeight="1" x14ac:dyDescent="0.25">
      <c r="A729" s="103"/>
      <c r="B729" s="413" t="s">
        <v>1446</v>
      </c>
      <c r="C729" s="414" t="s">
        <v>1431</v>
      </c>
      <c r="D729" s="416">
        <v>428.90300000000002</v>
      </c>
    </row>
    <row r="730" spans="1:4" s="81" customFormat="1" ht="12" customHeight="1" x14ac:dyDescent="0.25">
      <c r="A730" s="103"/>
      <c r="B730" s="413"/>
      <c r="C730" s="414" t="s">
        <v>1432</v>
      </c>
      <c r="D730" s="416">
        <v>28.570000000000004</v>
      </c>
    </row>
    <row r="731" spans="1:4" s="81" customFormat="1" ht="12" customHeight="1" x14ac:dyDescent="0.25">
      <c r="A731" s="103"/>
      <c r="B731" s="413"/>
      <c r="C731" s="414" t="s">
        <v>1109</v>
      </c>
      <c r="D731" s="416">
        <v>231.12299999999999</v>
      </c>
    </row>
    <row r="732" spans="1:4" s="81" customFormat="1" ht="12" customHeight="1" x14ac:dyDescent="0.25">
      <c r="A732" s="103"/>
      <c r="B732" s="413"/>
      <c r="C732" s="414" t="s">
        <v>1437</v>
      </c>
      <c r="D732" s="416">
        <v>2602.65</v>
      </c>
    </row>
    <row r="733" spans="1:4" s="81" customFormat="1" ht="12" customHeight="1" x14ac:dyDescent="0.25">
      <c r="A733" s="103"/>
      <c r="B733" s="413"/>
      <c r="C733" s="414" t="s">
        <v>1440</v>
      </c>
      <c r="D733" s="416">
        <v>0.47</v>
      </c>
    </row>
    <row r="734" spans="1:4" s="81" customFormat="1" ht="12" customHeight="1" x14ac:dyDescent="0.25">
      <c r="A734" s="103"/>
      <c r="B734" s="413"/>
      <c r="C734" s="414" t="s">
        <v>1447</v>
      </c>
      <c r="D734" s="416">
        <v>7.9109999999999996</v>
      </c>
    </row>
    <row r="735" spans="1:4" s="81" customFormat="1" ht="12" customHeight="1" x14ac:dyDescent="0.25">
      <c r="A735" s="103"/>
      <c r="B735" s="413" t="s">
        <v>1448</v>
      </c>
      <c r="C735" s="414" t="s">
        <v>796</v>
      </c>
      <c r="D735" s="416">
        <v>1075.0019999999995</v>
      </c>
    </row>
    <row r="736" spans="1:4" s="81" customFormat="1" ht="12" customHeight="1" x14ac:dyDescent="0.25">
      <c r="A736" s="103"/>
      <c r="B736" s="413"/>
      <c r="C736" s="414" t="s">
        <v>1433</v>
      </c>
      <c r="D736" s="416">
        <v>176.71400000000003</v>
      </c>
    </row>
    <row r="737" spans="1:4" s="81" customFormat="1" ht="12" customHeight="1" x14ac:dyDescent="0.25">
      <c r="A737" s="103"/>
      <c r="B737" s="413"/>
      <c r="C737" s="414" t="s">
        <v>1434</v>
      </c>
      <c r="D737" s="416">
        <v>24.843</v>
      </c>
    </row>
    <row r="738" spans="1:4" s="81" customFormat="1" ht="12" customHeight="1" x14ac:dyDescent="0.25">
      <c r="A738" s="103"/>
      <c r="B738" s="413"/>
      <c r="C738" s="414" t="s">
        <v>1449</v>
      </c>
      <c r="D738" s="416">
        <v>428.79100000000005</v>
      </c>
    </row>
    <row r="739" spans="1:4" s="81" customFormat="1" ht="12" customHeight="1" x14ac:dyDescent="0.25">
      <c r="A739" s="103"/>
      <c r="B739" s="413"/>
      <c r="C739" s="414" t="s">
        <v>1444</v>
      </c>
      <c r="D739" s="416">
        <v>225.24300000000002</v>
      </c>
    </row>
    <row r="740" spans="1:4" s="81" customFormat="1" ht="12" customHeight="1" x14ac:dyDescent="0.25">
      <c r="A740" s="103"/>
      <c r="B740" s="413" t="s">
        <v>1450</v>
      </c>
      <c r="C740" s="414" t="s">
        <v>1433</v>
      </c>
      <c r="D740" s="416">
        <v>34.06</v>
      </c>
    </row>
    <row r="741" spans="1:4" s="81" customFormat="1" ht="12" customHeight="1" x14ac:dyDescent="0.25">
      <c r="A741" s="103"/>
      <c r="B741" s="413"/>
      <c r="C741" s="414" t="s">
        <v>1451</v>
      </c>
      <c r="D741" s="416">
        <v>60.179000000000002</v>
      </c>
    </row>
    <row r="742" spans="1:4" s="81" customFormat="1" ht="12" customHeight="1" x14ac:dyDescent="0.25">
      <c r="A742" s="103"/>
      <c r="B742" s="413" t="s">
        <v>1452</v>
      </c>
      <c r="C742" s="414" t="s">
        <v>1108</v>
      </c>
      <c r="D742" s="416">
        <v>53.993000000000002</v>
      </c>
    </row>
    <row r="743" spans="1:4" s="81" customFormat="1" ht="12" customHeight="1" x14ac:dyDescent="0.25">
      <c r="A743" s="103"/>
      <c r="B743" s="413" t="s">
        <v>1453</v>
      </c>
      <c r="C743" s="414" t="s">
        <v>1010</v>
      </c>
      <c r="D743" s="416">
        <v>11.418000000000001</v>
      </c>
    </row>
    <row r="744" spans="1:4" s="81" customFormat="1" ht="12" customHeight="1" x14ac:dyDescent="0.25">
      <c r="A744" s="103"/>
      <c r="B744" s="413"/>
      <c r="C744" s="414" t="s">
        <v>1011</v>
      </c>
      <c r="D744" s="416">
        <v>3443.9750000000017</v>
      </c>
    </row>
    <row r="745" spans="1:4" s="81" customFormat="1" ht="12" customHeight="1" x14ac:dyDescent="0.25">
      <c r="A745" s="103"/>
      <c r="B745" s="413"/>
      <c r="C745" s="414" t="s">
        <v>1435</v>
      </c>
      <c r="D745" s="416">
        <v>416.18499999999995</v>
      </c>
    </row>
    <row r="746" spans="1:4" s="81" customFormat="1" ht="12" customHeight="1" x14ac:dyDescent="0.25">
      <c r="A746" s="103"/>
      <c r="B746" s="413"/>
      <c r="C746" s="414" t="s">
        <v>1454</v>
      </c>
      <c r="D746" s="416">
        <v>755.67599999999993</v>
      </c>
    </row>
    <row r="747" spans="1:4" s="81" customFormat="1" ht="12" customHeight="1" x14ac:dyDescent="0.25">
      <c r="A747" s="103"/>
      <c r="B747" s="413"/>
      <c r="C747" s="414" t="s">
        <v>1239</v>
      </c>
      <c r="D747" s="416">
        <v>9.859</v>
      </c>
    </row>
    <row r="748" spans="1:4" s="81" customFormat="1" ht="12" customHeight="1" x14ac:dyDescent="0.25">
      <c r="A748" s="103"/>
      <c r="B748" s="413" t="s">
        <v>1455</v>
      </c>
      <c r="C748" s="414" t="s">
        <v>1456</v>
      </c>
      <c r="D748" s="416">
        <v>40.159999999999997</v>
      </c>
    </row>
    <row r="749" spans="1:4" s="81" customFormat="1" ht="12" customHeight="1" x14ac:dyDescent="0.25">
      <c r="A749" s="103"/>
      <c r="B749" s="413" t="s">
        <v>1457</v>
      </c>
      <c r="C749" s="414" t="s">
        <v>1456</v>
      </c>
      <c r="D749" s="416">
        <v>14.231000000000002</v>
      </c>
    </row>
    <row r="750" spans="1:4" s="81" customFormat="1" ht="12" customHeight="1" x14ac:dyDescent="0.25">
      <c r="A750" s="103"/>
      <c r="B750" s="413"/>
      <c r="C750" s="414" t="s">
        <v>1433</v>
      </c>
      <c r="D750" s="416">
        <v>26.652999999999999</v>
      </c>
    </row>
    <row r="751" spans="1:4" s="81" customFormat="1" ht="12" customHeight="1" x14ac:dyDescent="0.25">
      <c r="A751" s="103"/>
      <c r="B751" s="413" t="s">
        <v>1458</v>
      </c>
      <c r="C751" s="414" t="s">
        <v>796</v>
      </c>
      <c r="D751" s="416">
        <v>55.012</v>
      </c>
    </row>
    <row r="752" spans="1:4" s="81" customFormat="1" ht="12" customHeight="1" x14ac:dyDescent="0.25">
      <c r="A752" s="103"/>
      <c r="B752" s="413"/>
      <c r="C752" s="414" t="s">
        <v>1435</v>
      </c>
      <c r="D752" s="416">
        <v>234.98399999999998</v>
      </c>
    </row>
    <row r="753" spans="1:4" s="81" customFormat="1" ht="12" customHeight="1" x14ac:dyDescent="0.25">
      <c r="A753" s="103"/>
      <c r="B753" s="413"/>
      <c r="C753" s="414" t="s">
        <v>1437</v>
      </c>
      <c r="D753" s="416">
        <v>212.297</v>
      </c>
    </row>
    <row r="754" spans="1:4" s="81" customFormat="1" ht="12" customHeight="1" x14ac:dyDescent="0.25">
      <c r="A754" s="103"/>
      <c r="B754" s="413"/>
      <c r="C754" s="414" t="s">
        <v>1459</v>
      </c>
      <c r="D754" s="416">
        <v>56.122</v>
      </c>
    </row>
    <row r="755" spans="1:4" s="81" customFormat="1" ht="12" customHeight="1" x14ac:dyDescent="0.25">
      <c r="A755" s="103"/>
      <c r="B755" s="413" t="s">
        <v>1460</v>
      </c>
      <c r="C755" s="414" t="s">
        <v>1104</v>
      </c>
      <c r="D755" s="416">
        <v>144.69200000000001</v>
      </c>
    </row>
    <row r="756" spans="1:4" s="81" customFormat="1" ht="12" customHeight="1" x14ac:dyDescent="0.25">
      <c r="A756" s="103"/>
      <c r="B756" s="413"/>
      <c r="C756" s="414" t="s">
        <v>1384</v>
      </c>
      <c r="D756" s="416">
        <v>11141.072999999999</v>
      </c>
    </row>
    <row r="757" spans="1:4" s="81" customFormat="1" ht="12" customHeight="1" x14ac:dyDescent="0.25">
      <c r="A757" s="103"/>
      <c r="B757" s="413"/>
      <c r="C757" s="414" t="s">
        <v>1461</v>
      </c>
      <c r="D757" s="416">
        <v>462.70900000000006</v>
      </c>
    </row>
    <row r="758" spans="1:4" s="81" customFormat="1" ht="12" customHeight="1" x14ac:dyDescent="0.25">
      <c r="A758" s="103"/>
      <c r="B758" s="413" t="s">
        <v>1462</v>
      </c>
      <c r="C758" s="414" t="s">
        <v>1235</v>
      </c>
      <c r="D758" s="416">
        <v>32.120999999999995</v>
      </c>
    </row>
    <row r="759" spans="1:4" s="81" customFormat="1" ht="12" customHeight="1" x14ac:dyDescent="0.25">
      <c r="A759" s="103"/>
      <c r="B759" s="413" t="s">
        <v>1463</v>
      </c>
      <c r="C759" s="414" t="s">
        <v>1464</v>
      </c>
      <c r="D759" s="416">
        <v>5.0619999999999994</v>
      </c>
    </row>
    <row r="760" spans="1:4" s="81" customFormat="1" ht="12" customHeight="1" x14ac:dyDescent="0.25">
      <c r="A760" s="103"/>
      <c r="B760" s="413"/>
      <c r="C760" s="414" t="s">
        <v>1465</v>
      </c>
      <c r="D760" s="416">
        <v>305.33</v>
      </c>
    </row>
    <row r="761" spans="1:4" s="81" customFormat="1" ht="12" customHeight="1" x14ac:dyDescent="0.25">
      <c r="A761" s="103"/>
      <c r="B761" s="413"/>
      <c r="C761" s="414" t="s">
        <v>1466</v>
      </c>
      <c r="D761" s="416">
        <v>160.64500000000001</v>
      </c>
    </row>
    <row r="762" spans="1:4" s="81" customFormat="1" ht="12" customHeight="1" x14ac:dyDescent="0.25">
      <c r="A762" s="103"/>
      <c r="B762" s="413"/>
      <c r="C762" s="414" t="s">
        <v>1467</v>
      </c>
      <c r="D762" s="416">
        <v>6821.4280000000008</v>
      </c>
    </row>
    <row r="763" spans="1:4" s="81" customFormat="1" ht="12" customHeight="1" x14ac:dyDescent="0.25">
      <c r="A763" s="103"/>
      <c r="B763" s="413" t="s">
        <v>1468</v>
      </c>
      <c r="C763" s="414" t="s">
        <v>1437</v>
      </c>
      <c r="D763" s="416">
        <v>406.86200000000014</v>
      </c>
    </row>
    <row r="764" spans="1:4" s="81" customFormat="1" ht="12" customHeight="1" x14ac:dyDescent="0.25">
      <c r="A764" s="103"/>
      <c r="B764" s="413" t="s">
        <v>1469</v>
      </c>
      <c r="C764" s="414" t="s">
        <v>1456</v>
      </c>
      <c r="D764" s="416">
        <v>12.057</v>
      </c>
    </row>
    <row r="765" spans="1:4" s="81" customFormat="1" ht="12" customHeight="1" x14ac:dyDescent="0.25">
      <c r="A765" s="103"/>
      <c r="B765" s="413" t="s">
        <v>1470</v>
      </c>
      <c r="C765" s="414" t="s">
        <v>1467</v>
      </c>
      <c r="D765" s="416">
        <v>880.35299999999972</v>
      </c>
    </row>
    <row r="766" spans="1:4" s="81" customFormat="1" ht="12" customHeight="1" x14ac:dyDescent="0.25">
      <c r="A766" s="103"/>
      <c r="B766" s="413" t="s">
        <v>1471</v>
      </c>
      <c r="C766" s="414" t="s">
        <v>1472</v>
      </c>
      <c r="D766" s="416">
        <v>4.7169999999999996</v>
      </c>
    </row>
    <row r="767" spans="1:4" s="81" customFormat="1" ht="12" customHeight="1" x14ac:dyDescent="0.25">
      <c r="A767" s="103"/>
      <c r="B767" s="413"/>
      <c r="C767" s="414" t="s">
        <v>1392</v>
      </c>
      <c r="D767" s="416">
        <v>32.015000000000001</v>
      </c>
    </row>
    <row r="768" spans="1:4" s="81" customFormat="1" ht="12" customHeight="1" x14ac:dyDescent="0.25">
      <c r="A768" s="103"/>
      <c r="B768" s="413" t="s">
        <v>1473</v>
      </c>
      <c r="C768" s="414" t="s">
        <v>1474</v>
      </c>
      <c r="D768" s="416">
        <v>3.375</v>
      </c>
    </row>
    <row r="769" spans="1:4" s="81" customFormat="1" ht="12" customHeight="1" x14ac:dyDescent="0.25">
      <c r="A769" s="103"/>
      <c r="B769" s="413"/>
      <c r="C769" s="414" t="s">
        <v>1475</v>
      </c>
      <c r="D769" s="416">
        <v>92.960000000000008</v>
      </c>
    </row>
    <row r="770" spans="1:4" s="81" customFormat="1" ht="12" customHeight="1" x14ac:dyDescent="0.25">
      <c r="A770" s="103"/>
      <c r="B770" s="413" t="s">
        <v>1476</v>
      </c>
      <c r="C770" s="414" t="s">
        <v>1477</v>
      </c>
      <c r="D770" s="416">
        <v>4.593</v>
      </c>
    </row>
    <row r="771" spans="1:4" s="81" customFormat="1" ht="12" customHeight="1" x14ac:dyDescent="0.25">
      <c r="A771" s="103"/>
      <c r="B771" s="413" t="s">
        <v>1478</v>
      </c>
      <c r="C771" s="414" t="s">
        <v>1479</v>
      </c>
      <c r="D771" s="416">
        <v>2.4460000000000002</v>
      </c>
    </row>
    <row r="772" spans="1:4" s="81" customFormat="1" ht="12" customHeight="1" x14ac:dyDescent="0.25">
      <c r="A772" s="103"/>
      <c r="B772" s="413"/>
      <c r="C772" s="414" t="s">
        <v>1480</v>
      </c>
      <c r="D772" s="416">
        <v>6.617</v>
      </c>
    </row>
    <row r="773" spans="1:4" s="81" customFormat="1" ht="12" customHeight="1" x14ac:dyDescent="0.25">
      <c r="A773" s="103"/>
      <c r="B773" s="413" t="s">
        <v>1481</v>
      </c>
      <c r="C773" s="414" t="s">
        <v>1482</v>
      </c>
      <c r="D773" s="416">
        <v>273.76000000000005</v>
      </c>
    </row>
    <row r="774" spans="1:4" s="81" customFormat="1" ht="12" customHeight="1" x14ac:dyDescent="0.25">
      <c r="A774" s="103"/>
      <c r="B774" s="413"/>
      <c r="C774" s="414" t="s">
        <v>1049</v>
      </c>
      <c r="D774" s="416">
        <v>1387.934</v>
      </c>
    </row>
    <row r="775" spans="1:4" s="81" customFormat="1" ht="12" customHeight="1" x14ac:dyDescent="0.25">
      <c r="A775" s="103"/>
      <c r="B775" s="413"/>
      <c r="C775" s="414" t="s">
        <v>1483</v>
      </c>
      <c r="D775" s="416">
        <v>11.136000000000001</v>
      </c>
    </row>
    <row r="776" spans="1:4" s="81" customFormat="1" ht="12" customHeight="1" x14ac:dyDescent="0.25">
      <c r="A776" s="103"/>
      <c r="B776" s="413"/>
      <c r="C776" s="414" t="s">
        <v>1461</v>
      </c>
      <c r="D776" s="416">
        <v>105.238</v>
      </c>
    </row>
    <row r="777" spans="1:4" s="81" customFormat="1" ht="12" customHeight="1" x14ac:dyDescent="0.25">
      <c r="A777" s="103"/>
      <c r="B777" s="413" t="s">
        <v>1484</v>
      </c>
      <c r="C777" s="414" t="s">
        <v>1485</v>
      </c>
      <c r="D777" s="416">
        <v>12</v>
      </c>
    </row>
    <row r="778" spans="1:4" s="81" customFormat="1" ht="12" customHeight="1" x14ac:dyDescent="0.25">
      <c r="A778" s="103"/>
      <c r="B778" s="413" t="s">
        <v>1486</v>
      </c>
      <c r="C778" s="414" t="s">
        <v>1115</v>
      </c>
      <c r="D778" s="416">
        <v>106.54499999999999</v>
      </c>
    </row>
    <row r="779" spans="1:4" s="81" customFormat="1" ht="12" customHeight="1" x14ac:dyDescent="0.25">
      <c r="A779" s="103"/>
      <c r="B779" s="413" t="s">
        <v>1487</v>
      </c>
      <c r="C779" s="414" t="s">
        <v>1364</v>
      </c>
      <c r="D779" s="416">
        <v>685.19299999999998</v>
      </c>
    </row>
    <row r="780" spans="1:4" s="81" customFormat="1" ht="12" customHeight="1" x14ac:dyDescent="0.25">
      <c r="A780" s="103"/>
      <c r="B780" s="413"/>
      <c r="C780" s="414" t="s">
        <v>1488</v>
      </c>
      <c r="D780" s="416">
        <v>3545.2060000000033</v>
      </c>
    </row>
    <row r="781" spans="1:4" s="81" customFormat="1" ht="12" customHeight="1" x14ac:dyDescent="0.25">
      <c r="A781" s="103"/>
      <c r="B781" s="413" t="s">
        <v>1489</v>
      </c>
      <c r="C781" s="414" t="s">
        <v>1490</v>
      </c>
      <c r="D781" s="416">
        <v>9.25</v>
      </c>
    </row>
    <row r="782" spans="1:4" s="81" customFormat="1" ht="12" customHeight="1" x14ac:dyDescent="0.25">
      <c r="A782" s="103"/>
      <c r="B782" s="413"/>
      <c r="C782" s="414" t="s">
        <v>1491</v>
      </c>
      <c r="D782" s="416">
        <v>515.255</v>
      </c>
    </row>
    <row r="783" spans="1:4" s="81" customFormat="1" ht="12" customHeight="1" x14ac:dyDescent="0.25">
      <c r="A783" s="103"/>
      <c r="B783" s="413" t="s">
        <v>1492</v>
      </c>
      <c r="C783" s="414" t="s">
        <v>1491</v>
      </c>
      <c r="D783" s="416">
        <v>5.13</v>
      </c>
    </row>
    <row r="784" spans="1:4" s="81" customFormat="1" ht="12" customHeight="1" x14ac:dyDescent="0.25">
      <c r="A784" s="103"/>
      <c r="B784" s="413" t="s">
        <v>1493</v>
      </c>
      <c r="C784" s="414" t="s">
        <v>1490</v>
      </c>
      <c r="D784" s="416">
        <v>10.741999999999999</v>
      </c>
    </row>
    <row r="785" spans="1:4" s="81" customFormat="1" ht="12" customHeight="1" x14ac:dyDescent="0.25">
      <c r="A785" s="103"/>
      <c r="B785" s="413" t="s">
        <v>1494</v>
      </c>
      <c r="C785" s="414" t="s">
        <v>1181</v>
      </c>
      <c r="D785" s="416">
        <v>60.46200000000001</v>
      </c>
    </row>
    <row r="786" spans="1:4" s="81" customFormat="1" ht="12" customHeight="1" x14ac:dyDescent="0.25">
      <c r="A786" s="103"/>
      <c r="B786" s="413" t="s">
        <v>1495</v>
      </c>
      <c r="C786" s="414" t="s">
        <v>1496</v>
      </c>
      <c r="D786" s="416">
        <v>10.859</v>
      </c>
    </row>
    <row r="787" spans="1:4" s="81" customFormat="1" ht="12" customHeight="1" x14ac:dyDescent="0.25">
      <c r="A787" s="103"/>
      <c r="B787" s="413"/>
      <c r="C787" s="414" t="s">
        <v>879</v>
      </c>
      <c r="D787" s="416">
        <v>121.43600000000002</v>
      </c>
    </row>
    <row r="788" spans="1:4" s="81" customFormat="1" ht="12" customHeight="1" x14ac:dyDescent="0.25">
      <c r="A788" s="103"/>
      <c r="B788" s="413"/>
      <c r="C788" s="414" t="s">
        <v>993</v>
      </c>
      <c r="D788" s="416">
        <v>4.5590000000000002</v>
      </c>
    </row>
    <row r="789" spans="1:4" s="81" customFormat="1" ht="12" customHeight="1" x14ac:dyDescent="0.25">
      <c r="A789" s="103"/>
      <c r="B789" s="413" t="s">
        <v>1497</v>
      </c>
      <c r="C789" s="414" t="s">
        <v>1498</v>
      </c>
      <c r="D789" s="416">
        <v>4.5579999999999998</v>
      </c>
    </row>
    <row r="790" spans="1:4" s="81" customFormat="1" ht="12" customHeight="1" x14ac:dyDescent="0.25">
      <c r="A790" s="103"/>
      <c r="B790" s="413"/>
      <c r="C790" s="414" t="s">
        <v>1499</v>
      </c>
      <c r="D790" s="416">
        <v>2845.3840000000032</v>
      </c>
    </row>
    <row r="791" spans="1:4" s="81" customFormat="1" ht="12" customHeight="1" x14ac:dyDescent="0.25">
      <c r="A791" s="103"/>
      <c r="B791" s="413"/>
      <c r="C791" s="414" t="s">
        <v>1500</v>
      </c>
      <c r="D791" s="416">
        <v>345.05099999999999</v>
      </c>
    </row>
    <row r="792" spans="1:4" s="81" customFormat="1" ht="12" customHeight="1" x14ac:dyDescent="0.25">
      <c r="A792" s="103"/>
      <c r="B792" s="413"/>
      <c r="C792" s="414" t="s">
        <v>1067</v>
      </c>
      <c r="D792" s="416">
        <v>3.7810000000000001</v>
      </c>
    </row>
    <row r="793" spans="1:4" s="81" customFormat="1" ht="12" customHeight="1" x14ac:dyDescent="0.25">
      <c r="A793" s="103"/>
      <c r="B793" s="413" t="s">
        <v>1501</v>
      </c>
      <c r="C793" s="414" t="s">
        <v>949</v>
      </c>
      <c r="D793" s="416">
        <v>18.257999999999999</v>
      </c>
    </row>
    <row r="794" spans="1:4" s="81" customFormat="1" ht="12" customHeight="1" x14ac:dyDescent="0.25">
      <c r="A794" s="103"/>
      <c r="B794" s="413"/>
      <c r="C794" s="414" t="s">
        <v>879</v>
      </c>
      <c r="D794" s="416">
        <v>200.22099999999998</v>
      </c>
    </row>
    <row r="795" spans="1:4" s="81" customFormat="1" ht="12" customHeight="1" x14ac:dyDescent="0.25">
      <c r="A795" s="103"/>
      <c r="B795" s="413"/>
      <c r="C795" s="414" t="s">
        <v>1502</v>
      </c>
      <c r="D795" s="416">
        <v>55.043000000000006</v>
      </c>
    </row>
    <row r="796" spans="1:4" s="81" customFormat="1" ht="12" customHeight="1" x14ac:dyDescent="0.25">
      <c r="A796" s="103"/>
      <c r="B796" s="413"/>
      <c r="C796" s="414" t="s">
        <v>902</v>
      </c>
      <c r="D796" s="416">
        <v>7.6680000000000001</v>
      </c>
    </row>
    <row r="797" spans="1:4" s="81" customFormat="1" ht="12" customHeight="1" x14ac:dyDescent="0.25">
      <c r="A797" s="103"/>
      <c r="B797" s="413"/>
      <c r="C797" s="414" t="s">
        <v>1503</v>
      </c>
      <c r="D797" s="416">
        <v>31.029</v>
      </c>
    </row>
    <row r="798" spans="1:4" s="81" customFormat="1" ht="12" customHeight="1" x14ac:dyDescent="0.25">
      <c r="A798" s="103"/>
      <c r="B798" s="413"/>
      <c r="C798" s="414" t="s">
        <v>1504</v>
      </c>
      <c r="D798" s="416">
        <v>31.547000000000001</v>
      </c>
    </row>
    <row r="799" spans="1:4" s="81" customFormat="1" ht="12" customHeight="1" x14ac:dyDescent="0.25">
      <c r="A799" s="103"/>
      <c r="B799" s="413"/>
      <c r="C799" s="414" t="s">
        <v>993</v>
      </c>
      <c r="D799" s="416">
        <v>2782.404</v>
      </c>
    </row>
    <row r="800" spans="1:4" s="81" customFormat="1" ht="12" customHeight="1" x14ac:dyDescent="0.25">
      <c r="A800" s="103"/>
      <c r="B800" s="413" t="s">
        <v>1505</v>
      </c>
      <c r="C800" s="414" t="s">
        <v>879</v>
      </c>
      <c r="D800" s="416">
        <v>5.4909999999999997</v>
      </c>
    </row>
    <row r="801" spans="1:4" s="81" customFormat="1" ht="12" customHeight="1" x14ac:dyDescent="0.25">
      <c r="A801" s="103"/>
      <c r="B801" s="413" t="s">
        <v>1506</v>
      </c>
      <c r="C801" s="414" t="s">
        <v>1090</v>
      </c>
      <c r="D801" s="416">
        <v>130.92700000000002</v>
      </c>
    </row>
    <row r="802" spans="1:4" s="81" customFormat="1" ht="12" customHeight="1" x14ac:dyDescent="0.25">
      <c r="A802" s="103"/>
      <c r="B802" s="413"/>
      <c r="C802" s="414" t="s">
        <v>894</v>
      </c>
      <c r="D802" s="416">
        <v>61.015000000000001</v>
      </c>
    </row>
    <row r="803" spans="1:4" s="81" customFormat="1" ht="12" customHeight="1" x14ac:dyDescent="0.25">
      <c r="A803" s="103"/>
      <c r="B803" s="413"/>
      <c r="C803" s="414" t="s">
        <v>1507</v>
      </c>
      <c r="D803" s="416">
        <v>6717.1950000000052</v>
      </c>
    </row>
    <row r="804" spans="1:4" s="81" customFormat="1" ht="12" customHeight="1" x14ac:dyDescent="0.25">
      <c r="A804" s="103"/>
      <c r="B804" s="413"/>
      <c r="C804" s="414" t="s">
        <v>1508</v>
      </c>
      <c r="D804" s="416">
        <v>2673.3519999999999</v>
      </c>
    </row>
    <row r="805" spans="1:4" s="81" customFormat="1" ht="12" customHeight="1" x14ac:dyDescent="0.25">
      <c r="A805" s="103"/>
      <c r="B805" s="413" t="s">
        <v>1509</v>
      </c>
      <c r="C805" s="414" t="s">
        <v>1508</v>
      </c>
      <c r="D805" s="416">
        <v>7.371999999999999</v>
      </c>
    </row>
    <row r="806" spans="1:4" s="81" customFormat="1" ht="12" customHeight="1" x14ac:dyDescent="0.25">
      <c r="A806" s="103"/>
      <c r="B806" s="413" t="s">
        <v>1510</v>
      </c>
      <c r="C806" s="414" t="s">
        <v>896</v>
      </c>
      <c r="D806" s="416">
        <v>47.741999999999997</v>
      </c>
    </row>
    <row r="807" spans="1:4" s="81" customFormat="1" ht="12" customHeight="1" x14ac:dyDescent="0.25">
      <c r="A807" s="103"/>
      <c r="B807" s="413"/>
      <c r="C807" s="414" t="s">
        <v>796</v>
      </c>
      <c r="D807" s="416">
        <v>54.975999999999999</v>
      </c>
    </row>
    <row r="808" spans="1:4" s="81" customFormat="1" ht="12" customHeight="1" x14ac:dyDescent="0.25">
      <c r="A808" s="103"/>
      <c r="B808" s="413"/>
      <c r="C808" s="414" t="s">
        <v>1511</v>
      </c>
      <c r="D808" s="416">
        <v>18648.617000000006</v>
      </c>
    </row>
    <row r="809" spans="1:4" s="81" customFormat="1" ht="12" customHeight="1" x14ac:dyDescent="0.25">
      <c r="A809" s="103"/>
      <c r="B809" s="413"/>
      <c r="C809" s="414" t="s">
        <v>1512</v>
      </c>
      <c r="D809" s="416">
        <v>4871.7399999999989</v>
      </c>
    </row>
    <row r="810" spans="1:4" s="81" customFormat="1" ht="12" customHeight="1" x14ac:dyDescent="0.25">
      <c r="A810" s="103"/>
      <c r="B810" s="413"/>
      <c r="C810" s="414" t="s">
        <v>889</v>
      </c>
      <c r="D810" s="416">
        <v>27.215</v>
      </c>
    </row>
    <row r="811" spans="1:4" s="81" customFormat="1" ht="12" customHeight="1" x14ac:dyDescent="0.25">
      <c r="A811" s="103"/>
      <c r="B811" s="413"/>
      <c r="C811" s="414" t="s">
        <v>892</v>
      </c>
      <c r="D811" s="416">
        <v>9.7650000000000006</v>
      </c>
    </row>
    <row r="812" spans="1:4" s="81" customFormat="1" ht="12" customHeight="1" x14ac:dyDescent="0.25">
      <c r="A812" s="103"/>
      <c r="B812" s="413"/>
      <c r="C812" s="414" t="s">
        <v>1513</v>
      </c>
      <c r="D812" s="416">
        <v>84.870999999999995</v>
      </c>
    </row>
    <row r="813" spans="1:4" s="81" customFormat="1" ht="12" customHeight="1" x14ac:dyDescent="0.25">
      <c r="A813" s="103"/>
      <c r="B813" s="413"/>
      <c r="C813" s="414" t="s">
        <v>1514</v>
      </c>
      <c r="D813" s="416">
        <v>936.58600000000001</v>
      </c>
    </row>
    <row r="814" spans="1:4" s="81" customFormat="1" ht="12" customHeight="1" x14ac:dyDescent="0.25">
      <c r="A814" s="103"/>
      <c r="B814" s="413" t="s">
        <v>1515</v>
      </c>
      <c r="C814" s="414" t="s">
        <v>1507</v>
      </c>
      <c r="D814" s="416">
        <v>1234.3620000000001</v>
      </c>
    </row>
    <row r="815" spans="1:4" s="81" customFormat="1" ht="12" customHeight="1" x14ac:dyDescent="0.25">
      <c r="A815" s="103"/>
      <c r="B815" s="413" t="s">
        <v>1516</v>
      </c>
      <c r="C815" s="414" t="s">
        <v>1511</v>
      </c>
      <c r="D815" s="416">
        <v>4.899</v>
      </c>
    </row>
    <row r="816" spans="1:4" s="81" customFormat="1" ht="12" customHeight="1" x14ac:dyDescent="0.25">
      <c r="A816" s="103"/>
      <c r="B816" s="413" t="s">
        <v>1517</v>
      </c>
      <c r="C816" s="414" t="s">
        <v>1055</v>
      </c>
      <c r="D816" s="416">
        <v>17.907</v>
      </c>
    </row>
    <row r="817" spans="1:4" s="81" customFormat="1" ht="12" customHeight="1" x14ac:dyDescent="0.25">
      <c r="A817" s="103"/>
      <c r="B817" s="413" t="s">
        <v>1518</v>
      </c>
      <c r="C817" s="414" t="s">
        <v>1251</v>
      </c>
      <c r="D817" s="416">
        <v>406.70100000000019</v>
      </c>
    </row>
    <row r="818" spans="1:4" s="81" customFormat="1" ht="12" customHeight="1" x14ac:dyDescent="0.25">
      <c r="A818" s="103"/>
      <c r="B818" s="413"/>
      <c r="C818" s="414" t="s">
        <v>1124</v>
      </c>
      <c r="D818" s="416">
        <v>71.88600000000001</v>
      </c>
    </row>
    <row r="819" spans="1:4" s="81" customFormat="1" ht="12" customHeight="1" x14ac:dyDescent="0.25">
      <c r="A819" s="103"/>
      <c r="B819" s="413" t="s">
        <v>1519</v>
      </c>
      <c r="C819" s="414" t="s">
        <v>949</v>
      </c>
      <c r="D819" s="416">
        <v>187.99600000000007</v>
      </c>
    </row>
    <row r="820" spans="1:4" s="81" customFormat="1" ht="12" customHeight="1" x14ac:dyDescent="0.25">
      <c r="A820" s="103"/>
      <c r="B820" s="413"/>
      <c r="C820" s="414" t="s">
        <v>950</v>
      </c>
      <c r="D820" s="416">
        <v>904.03599999999983</v>
      </c>
    </row>
    <row r="821" spans="1:4" s="81" customFormat="1" ht="12" customHeight="1" x14ac:dyDescent="0.25">
      <c r="A821" s="103"/>
      <c r="B821" s="413"/>
      <c r="C821" s="414" t="s">
        <v>1104</v>
      </c>
      <c r="D821" s="416">
        <v>982.76700000000085</v>
      </c>
    </row>
    <row r="822" spans="1:4" s="81" customFormat="1" ht="12" customHeight="1" x14ac:dyDescent="0.25">
      <c r="A822" s="103"/>
      <c r="B822" s="413"/>
      <c r="C822" s="414" t="s">
        <v>1520</v>
      </c>
      <c r="D822" s="416">
        <v>908.46899999999994</v>
      </c>
    </row>
    <row r="823" spans="1:4" s="81" customFormat="1" ht="12" customHeight="1" x14ac:dyDescent="0.25">
      <c r="A823" s="103"/>
      <c r="B823" s="413"/>
      <c r="C823" s="414" t="s">
        <v>1521</v>
      </c>
      <c r="D823" s="416">
        <v>12.184000000000001</v>
      </c>
    </row>
    <row r="824" spans="1:4" s="81" customFormat="1" ht="12" customHeight="1" x14ac:dyDescent="0.25">
      <c r="A824" s="103"/>
      <c r="B824" s="413" t="s">
        <v>1522</v>
      </c>
      <c r="C824" s="414" t="s">
        <v>1523</v>
      </c>
      <c r="D824" s="416">
        <v>61.606999999999992</v>
      </c>
    </row>
    <row r="825" spans="1:4" s="81" customFormat="1" ht="12" customHeight="1" x14ac:dyDescent="0.25">
      <c r="A825" s="103"/>
      <c r="B825" s="413" t="s">
        <v>1524</v>
      </c>
      <c r="C825" s="414" t="s">
        <v>1104</v>
      </c>
      <c r="D825" s="416">
        <v>202.95</v>
      </c>
    </row>
    <row r="826" spans="1:4" s="81" customFormat="1" ht="12" customHeight="1" x14ac:dyDescent="0.25">
      <c r="A826" s="103"/>
      <c r="B826" s="413" t="s">
        <v>1525</v>
      </c>
      <c r="C826" s="414" t="s">
        <v>1526</v>
      </c>
      <c r="D826" s="416">
        <v>73.17</v>
      </c>
    </row>
    <row r="827" spans="1:4" s="81" customFormat="1" ht="12" customHeight="1" x14ac:dyDescent="0.25">
      <c r="A827" s="103"/>
      <c r="B827" s="413"/>
      <c r="C827" s="414" t="s">
        <v>1392</v>
      </c>
      <c r="D827" s="416">
        <v>543.48099999999999</v>
      </c>
    </row>
    <row r="828" spans="1:4" s="81" customFormat="1" ht="12" customHeight="1" x14ac:dyDescent="0.25">
      <c r="A828" s="103"/>
      <c r="B828" s="413" t="s">
        <v>1527</v>
      </c>
      <c r="C828" s="414" t="s">
        <v>1014</v>
      </c>
      <c r="D828" s="416">
        <v>823.42200000000025</v>
      </c>
    </row>
    <row r="829" spans="1:4" s="81" customFormat="1" ht="12" customHeight="1" x14ac:dyDescent="0.25">
      <c r="A829" s="103"/>
      <c r="B829" s="413" t="s">
        <v>1528</v>
      </c>
      <c r="C829" s="414" t="s">
        <v>1529</v>
      </c>
      <c r="D829" s="416">
        <v>86.91</v>
      </c>
    </row>
    <row r="830" spans="1:4" s="81" customFormat="1" ht="12" customHeight="1" x14ac:dyDescent="0.25">
      <c r="A830" s="103"/>
      <c r="B830" s="413"/>
      <c r="C830" s="414" t="s">
        <v>1530</v>
      </c>
      <c r="D830" s="416">
        <v>11.016</v>
      </c>
    </row>
    <row r="831" spans="1:4" s="81" customFormat="1" ht="12" customHeight="1" x14ac:dyDescent="0.25">
      <c r="A831" s="103"/>
      <c r="B831" s="413" t="s">
        <v>1531</v>
      </c>
      <c r="C831" s="414" t="s">
        <v>1532</v>
      </c>
      <c r="D831" s="416">
        <v>1.5720000000000001</v>
      </c>
    </row>
    <row r="832" spans="1:4" s="81" customFormat="1" ht="12" customHeight="1" x14ac:dyDescent="0.25">
      <c r="A832" s="103"/>
      <c r="B832" s="413" t="s">
        <v>1533</v>
      </c>
      <c r="C832" s="414" t="s">
        <v>1075</v>
      </c>
      <c r="D832" s="416">
        <v>7.4280000000000008</v>
      </c>
    </row>
    <row r="833" spans="1:4" s="81" customFormat="1" ht="12" customHeight="1" x14ac:dyDescent="0.25">
      <c r="A833" s="103"/>
      <c r="B833" s="413"/>
      <c r="C833" s="414" t="s">
        <v>1284</v>
      </c>
      <c r="D833" s="416">
        <v>8.5609999999999999</v>
      </c>
    </row>
    <row r="834" spans="1:4" s="81" customFormat="1" ht="12" customHeight="1" x14ac:dyDescent="0.25">
      <c r="A834" s="103"/>
      <c r="B834" s="413" t="s">
        <v>1534</v>
      </c>
      <c r="C834" s="414" t="s">
        <v>1535</v>
      </c>
      <c r="D834" s="416">
        <v>2.286</v>
      </c>
    </row>
    <row r="835" spans="1:4" s="81" customFormat="1" ht="12" customHeight="1" x14ac:dyDescent="0.25">
      <c r="A835" s="103"/>
      <c r="B835" s="413"/>
      <c r="C835" s="414" t="s">
        <v>1536</v>
      </c>
      <c r="D835" s="416">
        <v>29.593000000000004</v>
      </c>
    </row>
    <row r="836" spans="1:4" s="81" customFormat="1" ht="12" customHeight="1" x14ac:dyDescent="0.25">
      <c r="A836" s="103"/>
      <c r="B836" s="413" t="s">
        <v>1537</v>
      </c>
      <c r="C836" s="414" t="s">
        <v>1302</v>
      </c>
      <c r="D836" s="416">
        <v>114.14399999999998</v>
      </c>
    </row>
    <row r="837" spans="1:4" s="81" customFormat="1" ht="12" customHeight="1" x14ac:dyDescent="0.25">
      <c r="A837" s="103"/>
      <c r="B837" s="413" t="s">
        <v>1538</v>
      </c>
      <c r="C837" s="414" t="s">
        <v>993</v>
      </c>
      <c r="D837" s="416">
        <v>2.81</v>
      </c>
    </row>
    <row r="838" spans="1:4" s="81" customFormat="1" ht="12" customHeight="1" x14ac:dyDescent="0.25">
      <c r="A838" s="103"/>
      <c r="B838" s="413" t="s">
        <v>1539</v>
      </c>
      <c r="C838" s="414" t="s">
        <v>1217</v>
      </c>
      <c r="D838" s="416">
        <v>84.831000000000017</v>
      </c>
    </row>
    <row r="839" spans="1:4" s="81" customFormat="1" ht="12" customHeight="1" x14ac:dyDescent="0.25">
      <c r="A839" s="103"/>
      <c r="B839" s="413"/>
      <c r="C839" s="414" t="s">
        <v>1540</v>
      </c>
      <c r="D839" s="416">
        <v>117.15199999999997</v>
      </c>
    </row>
    <row r="840" spans="1:4" s="81" customFormat="1" ht="12" customHeight="1" x14ac:dyDescent="0.25">
      <c r="A840" s="103"/>
      <c r="B840" s="413"/>
      <c r="C840" s="414" t="s">
        <v>1421</v>
      </c>
      <c r="D840" s="416">
        <v>6.1180000000000003</v>
      </c>
    </row>
    <row r="841" spans="1:4" s="81" customFormat="1" ht="12" customHeight="1" x14ac:dyDescent="0.25">
      <c r="A841" s="103"/>
      <c r="B841" s="413"/>
      <c r="C841" s="414" t="s">
        <v>1541</v>
      </c>
      <c r="D841" s="416">
        <v>52.033999999999999</v>
      </c>
    </row>
    <row r="842" spans="1:4" s="81" customFormat="1" ht="12" customHeight="1" x14ac:dyDescent="0.25">
      <c r="A842" s="103"/>
      <c r="B842" s="413"/>
      <c r="C842" s="414" t="s">
        <v>1542</v>
      </c>
      <c r="D842" s="416">
        <v>2.794</v>
      </c>
    </row>
    <row r="843" spans="1:4" s="81" customFormat="1" ht="12" customHeight="1" x14ac:dyDescent="0.25">
      <c r="A843" s="103"/>
      <c r="B843" s="413" t="s">
        <v>1543</v>
      </c>
      <c r="C843" s="414" t="s">
        <v>1542</v>
      </c>
      <c r="D843" s="416">
        <v>159.435</v>
      </c>
    </row>
    <row r="844" spans="1:4" s="81" customFormat="1" ht="12" customHeight="1" x14ac:dyDescent="0.25">
      <c r="A844" s="103"/>
      <c r="B844" s="413" t="s">
        <v>1544</v>
      </c>
      <c r="C844" s="414" t="s">
        <v>1313</v>
      </c>
      <c r="D844" s="416">
        <v>418.31900000000007</v>
      </c>
    </row>
    <row r="845" spans="1:4" s="81" customFormat="1" ht="12" customHeight="1" x14ac:dyDescent="0.25">
      <c r="A845" s="103"/>
      <c r="B845" s="413"/>
      <c r="C845" s="414" t="s">
        <v>1279</v>
      </c>
      <c r="D845" s="416">
        <v>45.119</v>
      </c>
    </row>
    <row r="846" spans="1:4" s="81" customFormat="1" ht="12" customHeight="1" x14ac:dyDescent="0.25">
      <c r="A846" s="103"/>
      <c r="B846" s="413"/>
      <c r="C846" s="414" t="s">
        <v>1413</v>
      </c>
      <c r="D846" s="416">
        <v>840.21300000000076</v>
      </c>
    </row>
    <row r="847" spans="1:4" s="81" customFormat="1" ht="12" customHeight="1" x14ac:dyDescent="0.25">
      <c r="A847" s="103"/>
      <c r="B847" s="413" t="s">
        <v>1545</v>
      </c>
      <c r="C847" s="414" t="s">
        <v>1006</v>
      </c>
      <c r="D847" s="416">
        <v>21.303000000000001</v>
      </c>
    </row>
    <row r="848" spans="1:4" s="81" customFormat="1" ht="12" customHeight="1" x14ac:dyDescent="0.25">
      <c r="A848" s="103"/>
      <c r="B848" s="413" t="s">
        <v>1546</v>
      </c>
      <c r="C848" s="414" t="s">
        <v>1547</v>
      </c>
      <c r="D848" s="416">
        <v>7.7560000000000002</v>
      </c>
    </row>
    <row r="849" spans="1:4" s="81" customFormat="1" ht="12" customHeight="1" x14ac:dyDescent="0.25">
      <c r="A849" s="103"/>
      <c r="B849" s="413" t="s">
        <v>1548</v>
      </c>
      <c r="C849" s="414" t="s">
        <v>1216</v>
      </c>
      <c r="D849" s="416">
        <v>108.29</v>
      </c>
    </row>
    <row r="850" spans="1:4" s="81" customFormat="1" ht="12" customHeight="1" x14ac:dyDescent="0.25">
      <c r="A850" s="103"/>
      <c r="B850" s="413"/>
      <c r="C850" s="414" t="s">
        <v>1217</v>
      </c>
      <c r="D850" s="416">
        <v>176.11500000000004</v>
      </c>
    </row>
    <row r="851" spans="1:4" s="81" customFormat="1" ht="12" customHeight="1" x14ac:dyDescent="0.25">
      <c r="A851" s="103"/>
      <c r="B851" s="413"/>
      <c r="C851" s="414" t="s">
        <v>1549</v>
      </c>
      <c r="D851" s="416">
        <v>9.83</v>
      </c>
    </row>
    <row r="852" spans="1:4" s="81" customFormat="1" ht="12" customHeight="1" x14ac:dyDescent="0.25">
      <c r="A852" s="103"/>
      <c r="B852" s="413"/>
      <c r="C852" s="414" t="s">
        <v>1540</v>
      </c>
      <c r="D852" s="416">
        <v>65.507999999999996</v>
      </c>
    </row>
    <row r="853" spans="1:4" s="81" customFormat="1" ht="12" customHeight="1" x14ac:dyDescent="0.25">
      <c r="A853" s="103"/>
      <c r="B853" s="413"/>
      <c r="C853" s="414" t="s">
        <v>1421</v>
      </c>
      <c r="D853" s="416">
        <v>16.947000000000003</v>
      </c>
    </row>
    <row r="854" spans="1:4" s="81" customFormat="1" ht="12" customHeight="1" x14ac:dyDescent="0.25">
      <c r="A854" s="103"/>
      <c r="B854" s="413"/>
      <c r="C854" s="414" t="s">
        <v>1542</v>
      </c>
      <c r="D854" s="416">
        <v>45.737999999999992</v>
      </c>
    </row>
    <row r="855" spans="1:4" s="81" customFormat="1" ht="12" customHeight="1" x14ac:dyDescent="0.25">
      <c r="A855" s="103"/>
      <c r="B855" s="413" t="s">
        <v>1550</v>
      </c>
      <c r="C855" s="414" t="s">
        <v>1542</v>
      </c>
      <c r="D855" s="416">
        <v>98.620999999999995</v>
      </c>
    </row>
    <row r="856" spans="1:4" s="81" customFormat="1" ht="12" customHeight="1" x14ac:dyDescent="0.25">
      <c r="A856" s="103"/>
      <c r="B856" s="413" t="s">
        <v>1551</v>
      </c>
      <c r="C856" s="414" t="s">
        <v>1552</v>
      </c>
      <c r="D856" s="416">
        <v>40.956000000000003</v>
      </c>
    </row>
    <row r="857" spans="1:4" s="81" customFormat="1" ht="12" customHeight="1" x14ac:dyDescent="0.25">
      <c r="A857" s="103"/>
      <c r="B857" s="413" t="s">
        <v>1553</v>
      </c>
      <c r="C857" s="414" t="s">
        <v>1554</v>
      </c>
      <c r="D857" s="416">
        <v>0.23100000000000001</v>
      </c>
    </row>
    <row r="858" spans="1:4" s="81" customFormat="1" ht="12" customHeight="1" x14ac:dyDescent="0.25">
      <c r="A858" s="103"/>
      <c r="B858" s="413" t="s">
        <v>1555</v>
      </c>
      <c r="C858" s="414" t="s">
        <v>1014</v>
      </c>
      <c r="D858" s="416">
        <v>67.450999999999993</v>
      </c>
    </row>
    <row r="859" spans="1:4" s="81" customFormat="1" ht="12" customHeight="1" x14ac:dyDescent="0.25">
      <c r="A859" s="103"/>
      <c r="B859" s="413" t="s">
        <v>1556</v>
      </c>
      <c r="C859" s="414" t="s">
        <v>1349</v>
      </c>
      <c r="D859" s="416">
        <v>7.7690000000000001</v>
      </c>
    </row>
    <row r="860" spans="1:4" s="81" customFormat="1" ht="12" customHeight="1" x14ac:dyDescent="0.25">
      <c r="A860" s="103"/>
      <c r="B860" s="413" t="s">
        <v>1557</v>
      </c>
      <c r="C860" s="414" t="s">
        <v>1224</v>
      </c>
      <c r="D860" s="416">
        <v>126.23000000000003</v>
      </c>
    </row>
    <row r="861" spans="1:4" s="81" customFormat="1" ht="12" customHeight="1" x14ac:dyDescent="0.25">
      <c r="A861" s="103"/>
      <c r="B861" s="413"/>
      <c r="C861" s="414" t="s">
        <v>1558</v>
      </c>
      <c r="D861" s="416">
        <v>6501.09</v>
      </c>
    </row>
    <row r="862" spans="1:4" s="81" customFormat="1" ht="12" customHeight="1" x14ac:dyDescent="0.25">
      <c r="A862" s="103"/>
      <c r="B862" s="413"/>
      <c r="C862" s="414" t="s">
        <v>1384</v>
      </c>
      <c r="D862" s="416">
        <v>2153.7060000000001</v>
      </c>
    </row>
    <row r="863" spans="1:4" s="81" customFormat="1" ht="12" customHeight="1" x14ac:dyDescent="0.25">
      <c r="A863" s="103"/>
      <c r="B863" s="413" t="s">
        <v>1559</v>
      </c>
      <c r="C863" s="414" t="s">
        <v>1224</v>
      </c>
      <c r="D863" s="416">
        <v>775.92300000000023</v>
      </c>
    </row>
    <row r="864" spans="1:4" s="81" customFormat="1" ht="12" customHeight="1" x14ac:dyDescent="0.25">
      <c r="A864" s="103"/>
      <c r="B864" s="413"/>
      <c r="C864" s="414" t="s">
        <v>1558</v>
      </c>
      <c r="D864" s="416">
        <v>96.555000000000021</v>
      </c>
    </row>
    <row r="865" spans="1:8" s="81" customFormat="1" ht="12" customHeight="1" x14ac:dyDescent="0.25">
      <c r="A865" s="103"/>
      <c r="B865" s="413" t="s">
        <v>1560</v>
      </c>
      <c r="C865" s="414" t="s">
        <v>1558</v>
      </c>
      <c r="D865" s="416">
        <v>83.111000000000004</v>
      </c>
    </row>
    <row r="866" spans="1:8" s="81" customFormat="1" ht="12" customHeight="1" x14ac:dyDescent="0.25">
      <c r="A866" s="103"/>
      <c r="B866" s="413" t="s">
        <v>1561</v>
      </c>
      <c r="C866" s="414" t="s">
        <v>1224</v>
      </c>
      <c r="D866" s="416">
        <v>232.82</v>
      </c>
    </row>
    <row r="867" spans="1:8" s="81" customFormat="1" ht="12" customHeight="1" x14ac:dyDescent="0.25">
      <c r="A867" s="103"/>
      <c r="B867" s="413" t="s">
        <v>1562</v>
      </c>
      <c r="C867" s="414" t="s">
        <v>1558</v>
      </c>
      <c r="D867" s="416">
        <v>123.64099999999999</v>
      </c>
    </row>
    <row r="868" spans="1:8" s="81" customFormat="1" ht="12" customHeight="1" x14ac:dyDescent="0.25">
      <c r="A868" s="103"/>
      <c r="B868" s="413" t="s">
        <v>1563</v>
      </c>
      <c r="C868" s="414" t="s">
        <v>1224</v>
      </c>
      <c r="D868" s="416">
        <v>6072.058</v>
      </c>
    </row>
    <row r="869" spans="1:8" s="81" customFormat="1" ht="12" customHeight="1" x14ac:dyDescent="0.25">
      <c r="A869" s="103"/>
      <c r="B869" s="413"/>
      <c r="C869" s="414" t="s">
        <v>1558</v>
      </c>
      <c r="D869" s="416">
        <v>7.7510000000000003</v>
      </c>
    </row>
    <row r="870" spans="1:8" s="81" customFormat="1" ht="12" customHeight="1" x14ac:dyDescent="0.25">
      <c r="A870" s="103"/>
      <c r="B870" s="413"/>
      <c r="C870" s="414" t="s">
        <v>1384</v>
      </c>
      <c r="D870" s="416">
        <v>149.02399999999994</v>
      </c>
    </row>
    <row r="871" spans="1:8" s="81" customFormat="1" ht="12" customHeight="1" x14ac:dyDescent="0.25">
      <c r="A871" s="103"/>
      <c r="B871" s="413"/>
      <c r="C871" s="414" t="s">
        <v>1564</v>
      </c>
      <c r="D871" s="416">
        <v>263.71300000000002</v>
      </c>
    </row>
    <row r="872" spans="1:8" s="81" customFormat="1" ht="12" customHeight="1" x14ac:dyDescent="0.25">
      <c r="A872" s="103"/>
      <c r="B872" s="413" t="s">
        <v>1565</v>
      </c>
      <c r="C872" s="414" t="s">
        <v>1566</v>
      </c>
      <c r="D872" s="416">
        <v>2.9279999999999999</v>
      </c>
    </row>
    <row r="873" spans="1:8" s="81" customFormat="1" ht="12" customHeight="1" x14ac:dyDescent="0.25">
      <c r="A873" s="103"/>
      <c r="B873" s="413" t="s">
        <v>1567</v>
      </c>
      <c r="C873" s="414" t="s">
        <v>1568</v>
      </c>
      <c r="D873" s="416">
        <v>2324.0880000000002</v>
      </c>
    </row>
    <row r="874" spans="1:8" s="81" customFormat="1" x14ac:dyDescent="0.25">
      <c r="A874" s="103"/>
      <c r="B874" s="413"/>
      <c r="C874" s="414" t="s">
        <v>1569</v>
      </c>
      <c r="D874" s="416">
        <v>32837.700000000012</v>
      </c>
      <c r="H874" s="82"/>
    </row>
    <row r="875" spans="1:8" s="81" customFormat="1" x14ac:dyDescent="0.25">
      <c r="A875" s="103"/>
      <c r="B875" s="413"/>
      <c r="C875" s="414" t="s">
        <v>1570</v>
      </c>
      <c r="D875" s="416">
        <v>121919.9999999998</v>
      </c>
    </row>
    <row r="876" spans="1:8" s="81" customFormat="1" x14ac:dyDescent="0.25">
      <c r="A876" s="103"/>
      <c r="B876" s="413"/>
      <c r="C876" s="414" t="s">
        <v>1571</v>
      </c>
      <c r="D876" s="416">
        <v>315.47000000000003</v>
      </c>
    </row>
    <row r="877" spans="1:8" s="81" customFormat="1" x14ac:dyDescent="0.25">
      <c r="A877" s="103"/>
      <c r="B877" s="413" t="s">
        <v>1572</v>
      </c>
      <c r="C877" s="414" t="s">
        <v>1569</v>
      </c>
      <c r="D877" s="416">
        <v>44.702999999999996</v>
      </c>
    </row>
    <row r="878" spans="1:8" x14ac:dyDescent="0.25">
      <c r="B878" s="413" t="s">
        <v>1573</v>
      </c>
      <c r="C878" s="414" t="s">
        <v>1570</v>
      </c>
      <c r="D878" s="416">
        <v>310.50300000000004</v>
      </c>
    </row>
    <row r="879" spans="1:8" x14ac:dyDescent="0.25">
      <c r="B879" s="413" t="s">
        <v>1574</v>
      </c>
      <c r="C879" s="414" t="s">
        <v>1075</v>
      </c>
      <c r="D879" s="416">
        <v>41.792999999999999</v>
      </c>
    </row>
    <row r="880" spans="1:8" x14ac:dyDescent="0.25">
      <c r="B880" s="413"/>
      <c r="C880" s="414" t="s">
        <v>1209</v>
      </c>
      <c r="D880" s="416">
        <v>14.481999999999999</v>
      </c>
    </row>
    <row r="881" spans="2:4" x14ac:dyDescent="0.25">
      <c r="B881" s="413"/>
      <c r="C881" s="414" t="s">
        <v>1167</v>
      </c>
      <c r="D881" s="416">
        <v>584.8359999999999</v>
      </c>
    </row>
    <row r="882" spans="2:4" x14ac:dyDescent="0.25">
      <c r="B882" s="413"/>
      <c r="C882" s="414" t="s">
        <v>1575</v>
      </c>
      <c r="D882" s="416">
        <v>258.27800000000002</v>
      </c>
    </row>
    <row r="883" spans="2:4" x14ac:dyDescent="0.25">
      <c r="B883" s="413"/>
      <c r="C883" s="414" t="s">
        <v>1576</v>
      </c>
      <c r="D883" s="416">
        <v>37.966000000000001</v>
      </c>
    </row>
    <row r="884" spans="2:4" x14ac:dyDescent="0.25">
      <c r="B884" s="413" t="s">
        <v>1577</v>
      </c>
      <c r="C884" s="414" t="s">
        <v>1075</v>
      </c>
      <c r="D884" s="416">
        <v>5.3450000000000006</v>
      </c>
    </row>
    <row r="885" spans="2:4" x14ac:dyDescent="0.25">
      <c r="B885" s="413"/>
      <c r="C885" s="414" t="s">
        <v>1167</v>
      </c>
      <c r="D885" s="416">
        <v>4.8579999999999997</v>
      </c>
    </row>
    <row r="886" spans="2:4" x14ac:dyDescent="0.25">
      <c r="B886" s="413" t="s">
        <v>1578</v>
      </c>
      <c r="C886" s="414" t="s">
        <v>1579</v>
      </c>
      <c r="D886" s="416">
        <v>13.539</v>
      </c>
    </row>
    <row r="887" spans="2:4" x14ac:dyDescent="0.25">
      <c r="B887" s="413"/>
      <c r="C887" s="414" t="s">
        <v>1435</v>
      </c>
      <c r="D887" s="416">
        <v>2.923</v>
      </c>
    </row>
    <row r="888" spans="2:4" x14ac:dyDescent="0.25">
      <c r="B888" s="413" t="s">
        <v>1580</v>
      </c>
      <c r="C888" s="414" t="s">
        <v>1581</v>
      </c>
      <c r="D888" s="416">
        <v>1541.1269999999979</v>
      </c>
    </row>
    <row r="889" spans="2:4" x14ac:dyDescent="0.25">
      <c r="B889" s="413"/>
      <c r="C889" s="414" t="s">
        <v>1582</v>
      </c>
      <c r="D889" s="416">
        <v>78.559999999999988</v>
      </c>
    </row>
    <row r="890" spans="2:4" x14ac:dyDescent="0.25">
      <c r="B890" s="413"/>
      <c r="C890" s="414" t="s">
        <v>1205</v>
      </c>
      <c r="D890" s="416">
        <v>0.97299999999999998</v>
      </c>
    </row>
    <row r="891" spans="2:4" x14ac:dyDescent="0.25">
      <c r="B891" s="413" t="s">
        <v>1583</v>
      </c>
      <c r="C891" s="414" t="s">
        <v>1205</v>
      </c>
      <c r="D891" s="416">
        <v>7.0829999999999993</v>
      </c>
    </row>
    <row r="892" spans="2:4" x14ac:dyDescent="0.25">
      <c r="B892" s="413" t="s">
        <v>1584</v>
      </c>
      <c r="C892" s="414" t="s">
        <v>1205</v>
      </c>
      <c r="D892" s="416">
        <v>3.4390000000000001</v>
      </c>
    </row>
    <row r="893" spans="2:4" x14ac:dyDescent="0.25">
      <c r="B893" s="413" t="s">
        <v>1585</v>
      </c>
      <c r="C893" s="414" t="s">
        <v>986</v>
      </c>
      <c r="D893" s="416">
        <v>9.8230000000000004</v>
      </c>
    </row>
    <row r="894" spans="2:4" x14ac:dyDescent="0.25">
      <c r="B894" s="413"/>
      <c r="C894" s="414" t="s">
        <v>1325</v>
      </c>
      <c r="D894" s="416">
        <v>5.0149999999999997</v>
      </c>
    </row>
    <row r="895" spans="2:4" x14ac:dyDescent="0.25">
      <c r="B895" s="413" t="s">
        <v>1586</v>
      </c>
      <c r="C895" s="414" t="s">
        <v>997</v>
      </c>
      <c r="D895" s="416">
        <v>693.05700000000002</v>
      </c>
    </row>
    <row r="896" spans="2:4" x14ac:dyDescent="0.25">
      <c r="B896" s="413" t="s">
        <v>1587</v>
      </c>
      <c r="C896" s="414" t="s">
        <v>1588</v>
      </c>
      <c r="D896" s="416">
        <v>597.78800000000035</v>
      </c>
    </row>
    <row r="897" spans="2:4" x14ac:dyDescent="0.25">
      <c r="B897" s="413"/>
      <c r="C897" s="414" t="s">
        <v>1589</v>
      </c>
      <c r="D897" s="416">
        <v>3658.0740000000005</v>
      </c>
    </row>
    <row r="898" spans="2:4" x14ac:dyDescent="0.25">
      <c r="B898" s="413"/>
      <c r="C898" s="414" t="s">
        <v>1590</v>
      </c>
      <c r="D898" s="416">
        <v>3.5300000000000002</v>
      </c>
    </row>
    <row r="899" spans="2:4" x14ac:dyDescent="0.25">
      <c r="B899" s="413"/>
      <c r="C899" s="414" t="s">
        <v>1420</v>
      </c>
      <c r="D899" s="416">
        <v>90.973000000000027</v>
      </c>
    </row>
    <row r="900" spans="2:4" x14ac:dyDescent="0.25">
      <c r="B900" s="413"/>
      <c r="C900" s="414" t="s">
        <v>1591</v>
      </c>
      <c r="D900" s="416">
        <v>5426.787999999995</v>
      </c>
    </row>
    <row r="901" spans="2:4" x14ac:dyDescent="0.25">
      <c r="B901" s="413" t="s">
        <v>1592</v>
      </c>
      <c r="C901" s="414" t="s">
        <v>1420</v>
      </c>
      <c r="D901" s="416">
        <v>16.573999999999998</v>
      </c>
    </row>
    <row r="902" spans="2:4" x14ac:dyDescent="0.25">
      <c r="B902" s="413" t="s">
        <v>1593</v>
      </c>
      <c r="C902" s="414" t="s">
        <v>1594</v>
      </c>
      <c r="D902" s="416">
        <v>59.651000000000003</v>
      </c>
    </row>
    <row r="903" spans="2:4" x14ac:dyDescent="0.25">
      <c r="B903" s="413"/>
      <c r="C903" s="414" t="s">
        <v>1595</v>
      </c>
      <c r="D903" s="416">
        <v>64.988</v>
      </c>
    </row>
    <row r="904" spans="2:4" x14ac:dyDescent="0.25">
      <c r="B904" s="413"/>
      <c r="C904" s="414" t="s">
        <v>1596</v>
      </c>
      <c r="D904" s="416">
        <v>9.7219999999999995</v>
      </c>
    </row>
    <row r="905" spans="2:4" x14ac:dyDescent="0.25">
      <c r="B905" s="413"/>
      <c r="C905" s="414" t="s">
        <v>1597</v>
      </c>
      <c r="D905" s="416">
        <v>4.4329999999999998</v>
      </c>
    </row>
    <row r="906" spans="2:4" x14ac:dyDescent="0.25">
      <c r="B906" s="413" t="s">
        <v>1598</v>
      </c>
      <c r="C906" s="414" t="s">
        <v>1599</v>
      </c>
      <c r="D906" s="416">
        <v>28.481999999999999</v>
      </c>
    </row>
    <row r="907" spans="2:4" x14ac:dyDescent="0.25">
      <c r="B907" s="413"/>
      <c r="C907" s="414" t="s">
        <v>932</v>
      </c>
      <c r="D907" s="416">
        <v>5.4580000000000002</v>
      </c>
    </row>
    <row r="908" spans="2:4" x14ac:dyDescent="0.25">
      <c r="B908" s="413" t="s">
        <v>1600</v>
      </c>
      <c r="C908" s="414" t="s">
        <v>1601</v>
      </c>
      <c r="D908" s="416">
        <v>10.791</v>
      </c>
    </row>
    <row r="909" spans="2:4" x14ac:dyDescent="0.25">
      <c r="B909" s="413" t="s">
        <v>1602</v>
      </c>
      <c r="C909" s="414" t="s">
        <v>1603</v>
      </c>
      <c r="D909" s="416">
        <v>129.339</v>
      </c>
    </row>
    <row r="910" spans="2:4" x14ac:dyDescent="0.25">
      <c r="B910" s="413"/>
      <c r="C910" s="414" t="s">
        <v>1604</v>
      </c>
      <c r="D910" s="416">
        <v>8.9400000000000013</v>
      </c>
    </row>
    <row r="911" spans="2:4" x14ac:dyDescent="0.25">
      <c r="B911" s="413" t="s">
        <v>1605</v>
      </c>
      <c r="C911" s="414" t="s">
        <v>1606</v>
      </c>
      <c r="D911" s="416">
        <v>17.873000000000001</v>
      </c>
    </row>
    <row r="912" spans="2:4" x14ac:dyDescent="0.25">
      <c r="B912" s="413" t="s">
        <v>1607</v>
      </c>
      <c r="C912" s="414" t="s">
        <v>1608</v>
      </c>
      <c r="D912" s="416">
        <v>298.24599999999998</v>
      </c>
    </row>
    <row r="913" spans="2:4" x14ac:dyDescent="0.25">
      <c r="B913" s="413" t="s">
        <v>1609</v>
      </c>
      <c r="C913" s="414" t="s">
        <v>1610</v>
      </c>
      <c r="D913" s="416">
        <v>86127.689999999973</v>
      </c>
    </row>
    <row r="914" spans="2:4" x14ac:dyDescent="0.25">
      <c r="B914" s="413" t="s">
        <v>1611</v>
      </c>
      <c r="C914" s="414" t="s">
        <v>1119</v>
      </c>
      <c r="D914" s="416">
        <v>9462.8520000000062</v>
      </c>
    </row>
    <row r="915" spans="2:4" x14ac:dyDescent="0.25">
      <c r="B915" s="413" t="s">
        <v>1612</v>
      </c>
      <c r="C915" s="414" t="s">
        <v>1248</v>
      </c>
      <c r="D915" s="416">
        <v>28.088000000000001</v>
      </c>
    </row>
    <row r="916" spans="2:4" x14ac:dyDescent="0.25">
      <c r="B916" s="413"/>
      <c r="C916" s="414" t="s">
        <v>910</v>
      </c>
      <c r="D916" s="416">
        <v>28.518999999999998</v>
      </c>
    </row>
    <row r="917" spans="2:4" x14ac:dyDescent="0.25">
      <c r="B917" s="413" t="s">
        <v>1613</v>
      </c>
      <c r="C917" s="414" t="s">
        <v>1019</v>
      </c>
      <c r="D917" s="416">
        <v>625.67000000000007</v>
      </c>
    </row>
    <row r="918" spans="2:4" x14ac:dyDescent="0.25">
      <c r="B918" s="413" t="s">
        <v>1614</v>
      </c>
      <c r="C918" s="414" t="s">
        <v>1615</v>
      </c>
      <c r="D918" s="416">
        <v>11.07</v>
      </c>
    </row>
    <row r="919" spans="2:4" x14ac:dyDescent="0.25">
      <c r="B919" s="413"/>
      <c r="C919" s="414" t="s">
        <v>1616</v>
      </c>
      <c r="D919" s="416">
        <v>6.1859999999999999</v>
      </c>
    </row>
    <row r="920" spans="2:4" x14ac:dyDescent="0.25">
      <c r="B920" s="413" t="s">
        <v>1617</v>
      </c>
      <c r="C920" s="414" t="s">
        <v>1618</v>
      </c>
      <c r="D920" s="416">
        <v>8.6959999999999997</v>
      </c>
    </row>
    <row r="921" spans="2:4" x14ac:dyDescent="0.25">
      <c r="B921" s="413"/>
      <c r="C921" s="414" t="s">
        <v>1619</v>
      </c>
      <c r="D921" s="416">
        <v>130.04599999999999</v>
      </c>
    </row>
    <row r="922" spans="2:4" x14ac:dyDescent="0.25">
      <c r="B922" s="413" t="s">
        <v>1620</v>
      </c>
      <c r="C922" s="414" t="s">
        <v>1023</v>
      </c>
      <c r="D922" s="416">
        <v>22.228999999999999</v>
      </c>
    </row>
    <row r="923" spans="2:4" x14ac:dyDescent="0.25">
      <c r="B923" s="413" t="s">
        <v>1621</v>
      </c>
      <c r="C923" s="414" t="s">
        <v>1622</v>
      </c>
      <c r="D923" s="416">
        <v>544.83399999999995</v>
      </c>
    </row>
    <row r="924" spans="2:4" x14ac:dyDescent="0.25">
      <c r="B924" s="413" t="s">
        <v>1623</v>
      </c>
      <c r="C924" s="414" t="s">
        <v>1624</v>
      </c>
      <c r="D924" s="416">
        <v>3.1100000000000003</v>
      </c>
    </row>
    <row r="925" spans="2:4" x14ac:dyDescent="0.25">
      <c r="B925" s="413"/>
      <c r="C925" s="414" t="s">
        <v>1625</v>
      </c>
      <c r="D925" s="416">
        <v>10.770999999999999</v>
      </c>
    </row>
    <row r="926" spans="2:4" x14ac:dyDescent="0.25">
      <c r="B926" s="413"/>
      <c r="C926" s="414" t="s">
        <v>1626</v>
      </c>
      <c r="D926" s="416">
        <v>1.635</v>
      </c>
    </row>
    <row r="927" spans="2:4" x14ac:dyDescent="0.25">
      <c r="B927" s="413"/>
      <c r="C927" s="414" t="s">
        <v>1627</v>
      </c>
      <c r="D927" s="416">
        <v>5.3660000000000005</v>
      </c>
    </row>
    <row r="928" spans="2:4" x14ac:dyDescent="0.25">
      <c r="B928" s="413" t="s">
        <v>1628</v>
      </c>
      <c r="C928" s="414" t="s">
        <v>1629</v>
      </c>
      <c r="D928" s="416">
        <v>27.014000000000003</v>
      </c>
    </row>
    <row r="929" spans="2:4" x14ac:dyDescent="0.25">
      <c r="B929" s="413" t="s">
        <v>1630</v>
      </c>
      <c r="C929" s="414" t="s">
        <v>986</v>
      </c>
      <c r="D929" s="416">
        <v>1053.8599999999999</v>
      </c>
    </row>
    <row r="930" spans="2:4" x14ac:dyDescent="0.25">
      <c r="B930" s="413"/>
      <c r="C930" s="414" t="s">
        <v>987</v>
      </c>
      <c r="D930" s="416">
        <v>293.73400000000004</v>
      </c>
    </row>
    <row r="931" spans="2:4" x14ac:dyDescent="0.25">
      <c r="B931" s="413"/>
      <c r="C931" s="414" t="s">
        <v>1325</v>
      </c>
      <c r="D931" s="416">
        <v>3328.7240000000029</v>
      </c>
    </row>
    <row r="932" spans="2:4" x14ac:dyDescent="0.25">
      <c r="B932" s="413"/>
      <c r="C932" s="414" t="s">
        <v>1631</v>
      </c>
      <c r="D932" s="416">
        <v>48.280999999999999</v>
      </c>
    </row>
    <row r="933" spans="2:4" x14ac:dyDescent="0.25">
      <c r="B933" s="413"/>
      <c r="C933" s="414" t="s">
        <v>1326</v>
      </c>
      <c r="D933" s="416">
        <v>128.114</v>
      </c>
    </row>
    <row r="934" spans="2:4" x14ac:dyDescent="0.25">
      <c r="B934" s="413"/>
      <c r="C934" s="414" t="s">
        <v>932</v>
      </c>
      <c r="D934" s="416">
        <v>10882.114000000005</v>
      </c>
    </row>
    <row r="935" spans="2:4" x14ac:dyDescent="0.25">
      <c r="B935" s="413" t="s">
        <v>1632</v>
      </c>
      <c r="C935" s="414" t="s">
        <v>1325</v>
      </c>
      <c r="D935" s="416">
        <v>3928.5080000000003</v>
      </c>
    </row>
    <row r="936" spans="2:4" x14ac:dyDescent="0.25">
      <c r="B936" s="413" t="s">
        <v>1633</v>
      </c>
      <c r="C936" s="414" t="s">
        <v>1191</v>
      </c>
      <c r="D936" s="416">
        <v>12688.279000000013</v>
      </c>
    </row>
    <row r="937" spans="2:4" x14ac:dyDescent="0.25">
      <c r="B937" s="413" t="s">
        <v>1634</v>
      </c>
      <c r="C937" s="414" t="s">
        <v>1432</v>
      </c>
      <c r="D937" s="416">
        <v>10.384999999999998</v>
      </c>
    </row>
    <row r="938" spans="2:4" x14ac:dyDescent="0.25">
      <c r="B938" s="413" t="s">
        <v>1635</v>
      </c>
      <c r="C938" s="414" t="s">
        <v>1189</v>
      </c>
      <c r="D938" s="416">
        <v>18.07</v>
      </c>
    </row>
    <row r="939" spans="2:4" x14ac:dyDescent="0.25">
      <c r="B939" s="413" t="s">
        <v>1636</v>
      </c>
      <c r="C939" s="414" t="s">
        <v>1637</v>
      </c>
      <c r="D939" s="416">
        <v>3.008</v>
      </c>
    </row>
    <row r="940" spans="2:4" x14ac:dyDescent="0.25">
      <c r="B940" s="413"/>
      <c r="C940" s="414" t="s">
        <v>1638</v>
      </c>
      <c r="D940" s="416">
        <v>9.5570000000000004</v>
      </c>
    </row>
    <row r="941" spans="2:4" x14ac:dyDescent="0.25">
      <c r="B941" s="413"/>
      <c r="C941" s="414" t="s">
        <v>1202</v>
      </c>
      <c r="D941" s="416">
        <v>68.493999999999986</v>
      </c>
    </row>
    <row r="942" spans="2:4" x14ac:dyDescent="0.25">
      <c r="B942" s="413" t="s">
        <v>1639</v>
      </c>
      <c r="C942" s="414" t="s">
        <v>1640</v>
      </c>
      <c r="D942" s="416">
        <v>0.98499999999999999</v>
      </c>
    </row>
    <row r="943" spans="2:4" x14ac:dyDescent="0.25">
      <c r="B943" s="413"/>
      <c r="C943" s="414" t="s">
        <v>1485</v>
      </c>
      <c r="D943" s="416">
        <v>6.6270000000000007</v>
      </c>
    </row>
    <row r="944" spans="2:4" x14ac:dyDescent="0.25">
      <c r="B944" s="413" t="s">
        <v>1641</v>
      </c>
      <c r="C944" s="414" t="s">
        <v>1558</v>
      </c>
      <c r="D944" s="416">
        <v>54.178999999999995</v>
      </c>
    </row>
    <row r="945" spans="2:4" x14ac:dyDescent="0.25">
      <c r="B945" s="413" t="s">
        <v>1642</v>
      </c>
      <c r="C945" s="414" t="s">
        <v>1643</v>
      </c>
      <c r="D945" s="416">
        <v>3.1110000000000002</v>
      </c>
    </row>
    <row r="946" spans="2:4" x14ac:dyDescent="0.25">
      <c r="B946" s="413"/>
      <c r="C946" s="414" t="s">
        <v>1224</v>
      </c>
      <c r="D946" s="416">
        <v>4.3540000000000001</v>
      </c>
    </row>
    <row r="947" spans="2:4" x14ac:dyDescent="0.25">
      <c r="B947" s="419" t="s">
        <v>45</v>
      </c>
      <c r="C947" s="420"/>
      <c r="D947" s="421">
        <f>SUM(D39:D946)</f>
        <v>1602867.9315000009</v>
      </c>
    </row>
  </sheetData>
  <conditionalFormatting sqref="P59:P64 X39:X58">
    <cfRule type="duplicateValues" dxfId="0" priority="3"/>
  </conditionalFormatting>
  <hyperlinks>
    <hyperlink ref="A1" location="INDICE!A1" display="(Ir al Índice)" xr:uid="{74F72C51-45FA-494C-B882-D3F9C9587DBD}"/>
  </hyperlinks>
  <printOptions horizontalCentered="1"/>
  <pageMargins left="0.78740157480314965" right="0.78740157480314965" top="0.59055118110236227" bottom="0.78740157480314965" header="0.39370078740157483" footer="0.39370078740157483"/>
  <pageSetup paperSize="9" orientation="portrait" r:id="rId1"/>
  <headerFooter>
    <oddFooter>&amp;R&amp;8 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5E0B3"/>
  </sheetPr>
  <dimension ref="A1:AC1273"/>
  <sheetViews>
    <sheetView showGridLines="0" zoomScale="90" workbookViewId="0">
      <selection activeCell="P32" sqref="P32"/>
    </sheetView>
  </sheetViews>
  <sheetFormatPr baseColWidth="10" defaultColWidth="14.42578125" defaultRowHeight="15" customHeight="1" x14ac:dyDescent="0.25"/>
  <cols>
    <col min="1" max="1" width="4.28515625" customWidth="1"/>
    <col min="2" max="2" width="26" customWidth="1"/>
    <col min="3" max="3" width="38.7109375" customWidth="1"/>
    <col min="4" max="4" width="16" customWidth="1"/>
    <col min="5" max="6" width="11.42578125" customWidth="1"/>
    <col min="7" max="7" width="15.140625" customWidth="1"/>
    <col min="8" max="9" width="13.5703125" customWidth="1"/>
    <col min="10" max="26" width="11.42578125" customWidth="1"/>
  </cols>
  <sheetData>
    <row r="1" spans="1:22" x14ac:dyDescent="0.25">
      <c r="A1" s="78" t="s">
        <v>43</v>
      </c>
      <c r="B1" s="18"/>
      <c r="C1" s="18"/>
      <c r="D1" s="18"/>
      <c r="E1" s="27"/>
      <c r="F1" s="27"/>
      <c r="G1" s="8"/>
      <c r="H1" s="8"/>
      <c r="I1" s="8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2" x14ac:dyDescent="0.25">
      <c r="B2" s="19"/>
      <c r="C2" s="19"/>
      <c r="D2" s="19"/>
      <c r="E2" s="28"/>
      <c r="F2" s="28"/>
      <c r="G2" s="19"/>
      <c r="H2" s="19"/>
      <c r="I2" s="19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2" x14ac:dyDescent="0.25">
      <c r="B3" s="4" t="s">
        <v>22</v>
      </c>
      <c r="C3" s="19"/>
      <c r="D3" s="19"/>
      <c r="E3" s="28"/>
      <c r="F3" s="28"/>
      <c r="G3" s="19"/>
      <c r="H3" s="19"/>
      <c r="I3" s="19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spans="1:22" x14ac:dyDescent="0.25">
      <c r="B4" s="4"/>
      <c r="C4" s="19"/>
      <c r="D4" s="19"/>
      <c r="E4" s="28"/>
      <c r="F4" s="28"/>
      <c r="G4" s="19"/>
      <c r="H4" s="19"/>
      <c r="I4" s="19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spans="1:22" x14ac:dyDescent="0.25">
      <c r="B5" s="4" t="s">
        <v>23</v>
      </c>
      <c r="C5" s="19"/>
      <c r="D5" s="19"/>
      <c r="E5" s="28"/>
      <c r="F5" s="28"/>
      <c r="G5" s="19"/>
      <c r="H5" s="19"/>
      <c r="I5" s="19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</row>
    <row r="6" spans="1:22" x14ac:dyDescent="0.25">
      <c r="B6" s="4"/>
      <c r="C6" s="19"/>
      <c r="D6" s="19"/>
      <c r="E6" s="19"/>
      <c r="F6" s="15" t="s">
        <v>572</v>
      </c>
      <c r="G6" s="19"/>
      <c r="H6" s="19"/>
      <c r="I6" s="19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</row>
    <row r="7" spans="1:22" x14ac:dyDescent="0.25">
      <c r="B7" s="19" t="s">
        <v>1645</v>
      </c>
      <c r="C7" s="8"/>
      <c r="D7" s="8"/>
      <c r="E7" s="27"/>
      <c r="F7" s="22" t="s">
        <v>1646</v>
      </c>
      <c r="G7" s="8"/>
      <c r="H7" s="8"/>
      <c r="I7" s="8"/>
      <c r="J7" s="41"/>
      <c r="K7" s="41"/>
      <c r="L7" s="41"/>
      <c r="M7" s="41"/>
      <c r="N7" s="41"/>
      <c r="O7" s="41"/>
      <c r="P7" s="41"/>
      <c r="Q7" s="41"/>
      <c r="R7" s="41"/>
      <c r="S7" s="205"/>
      <c r="T7" s="205"/>
      <c r="U7" s="205"/>
      <c r="V7" s="206"/>
    </row>
    <row r="8" spans="1:22" x14ac:dyDescent="0.25">
      <c r="B8" s="424" t="s">
        <v>44</v>
      </c>
      <c r="C8" s="425" t="s">
        <v>260</v>
      </c>
      <c r="D8" s="31"/>
      <c r="E8" s="31"/>
      <c r="F8" s="31"/>
      <c r="G8" s="31"/>
      <c r="H8" s="29"/>
      <c r="I8" s="29"/>
      <c r="J8" s="31"/>
      <c r="K8" s="31"/>
      <c r="L8" s="31"/>
      <c r="M8" s="31"/>
      <c r="N8" s="31"/>
      <c r="O8" s="31"/>
      <c r="P8" s="31"/>
      <c r="Q8" s="31"/>
      <c r="R8" s="31"/>
      <c r="S8" s="69"/>
      <c r="T8" s="69"/>
      <c r="U8" s="69"/>
      <c r="V8" s="206"/>
    </row>
    <row r="9" spans="1:22" x14ac:dyDescent="0.25">
      <c r="B9" s="426" t="s">
        <v>688</v>
      </c>
      <c r="C9" s="427">
        <v>7679.0029999999979</v>
      </c>
      <c r="D9" s="251"/>
      <c r="E9" s="251"/>
      <c r="F9" s="31"/>
      <c r="G9" s="31"/>
      <c r="H9" s="31"/>
      <c r="I9" s="31"/>
      <c r="J9" s="31"/>
      <c r="K9" s="31"/>
      <c r="L9" s="31"/>
      <c r="M9" s="31"/>
      <c r="Q9" s="83" t="s">
        <v>44</v>
      </c>
      <c r="R9" s="83"/>
      <c r="S9" s="83"/>
      <c r="V9" s="206"/>
    </row>
    <row r="10" spans="1:22" ht="12" customHeight="1" x14ac:dyDescent="0.25">
      <c r="A10" s="31"/>
      <c r="B10" s="428" t="s">
        <v>691</v>
      </c>
      <c r="C10" s="427">
        <v>197.2766</v>
      </c>
      <c r="D10" s="251"/>
      <c r="E10" s="251"/>
      <c r="F10" s="31"/>
      <c r="G10" s="31"/>
      <c r="H10" s="31"/>
      <c r="I10" s="31"/>
      <c r="J10" s="31"/>
      <c r="K10" s="31"/>
      <c r="L10" s="31"/>
      <c r="M10" s="31"/>
      <c r="Q10" s="83" t="s">
        <v>244</v>
      </c>
      <c r="R10" s="84"/>
      <c r="S10" s="217"/>
      <c r="V10" s="206"/>
    </row>
    <row r="11" spans="1:22" ht="12" customHeight="1" x14ac:dyDescent="0.25">
      <c r="A11" s="31"/>
      <c r="B11" s="428" t="s">
        <v>692</v>
      </c>
      <c r="C11" s="427">
        <v>628.68689999999992</v>
      </c>
      <c r="D11" s="251"/>
      <c r="E11" s="251"/>
      <c r="F11" s="31"/>
      <c r="G11" s="31"/>
      <c r="H11" s="31"/>
      <c r="I11" s="31"/>
      <c r="J11" s="31"/>
      <c r="K11" s="31"/>
      <c r="L11" s="31"/>
      <c r="M11" s="31"/>
      <c r="Q11" s="83" t="s">
        <v>51</v>
      </c>
      <c r="R11" s="84"/>
      <c r="S11" s="217"/>
      <c r="V11" s="206"/>
    </row>
    <row r="12" spans="1:22" ht="12" customHeight="1" x14ac:dyDescent="0.25">
      <c r="A12" s="31"/>
      <c r="B12" s="428" t="s">
        <v>693</v>
      </c>
      <c r="C12" s="427">
        <v>196.12816981132076</v>
      </c>
      <c r="D12" s="251"/>
      <c r="E12" s="251"/>
      <c r="F12" s="31"/>
      <c r="G12" s="31"/>
      <c r="H12" s="31"/>
      <c r="I12" s="31"/>
      <c r="J12" s="31"/>
      <c r="K12" s="31"/>
      <c r="L12" s="31"/>
      <c r="M12" s="31"/>
      <c r="Q12" s="83" t="s">
        <v>50</v>
      </c>
      <c r="R12" s="84"/>
      <c r="S12" s="217"/>
      <c r="V12" s="206"/>
    </row>
    <row r="13" spans="1:22" ht="12" customHeight="1" x14ac:dyDescent="0.25">
      <c r="A13" s="31"/>
      <c r="B13" s="428" t="s">
        <v>695</v>
      </c>
      <c r="C13" s="427">
        <v>1146.9965000000004</v>
      </c>
      <c r="D13" s="251"/>
      <c r="E13" s="251"/>
      <c r="F13" s="31"/>
      <c r="G13" s="31"/>
      <c r="H13" s="31"/>
      <c r="I13" s="31"/>
      <c r="J13" s="31"/>
      <c r="K13" s="31"/>
      <c r="L13" s="31"/>
      <c r="M13" s="31"/>
      <c r="Q13" s="83" t="s">
        <v>73</v>
      </c>
      <c r="R13" s="84"/>
      <c r="S13" s="217"/>
      <c r="V13" s="206"/>
    </row>
    <row r="14" spans="1:22" ht="12" customHeight="1" x14ac:dyDescent="0.25">
      <c r="A14" s="31"/>
      <c r="B14" s="428" t="s">
        <v>697</v>
      </c>
      <c r="C14" s="427">
        <v>58146.610574633552</v>
      </c>
      <c r="D14" s="251"/>
      <c r="E14" s="251"/>
      <c r="F14" s="31"/>
      <c r="G14" s="31"/>
      <c r="H14" s="31"/>
      <c r="I14" s="31"/>
      <c r="J14" s="31"/>
      <c r="K14" s="31"/>
      <c r="L14" s="31"/>
      <c r="M14" s="31"/>
      <c r="Q14" s="86" t="s">
        <v>52</v>
      </c>
      <c r="R14" s="87"/>
      <c r="S14" s="217"/>
      <c r="V14" s="206"/>
    </row>
    <row r="15" spans="1:22" ht="12" customHeight="1" x14ac:dyDescent="0.25">
      <c r="B15" s="428" t="s">
        <v>699</v>
      </c>
      <c r="C15" s="427">
        <v>66452.666000053723</v>
      </c>
      <c r="D15" s="251"/>
      <c r="E15" s="251"/>
      <c r="F15" s="31"/>
      <c r="G15" s="31"/>
      <c r="H15" s="31"/>
      <c r="I15" s="31"/>
      <c r="J15" s="31"/>
      <c r="K15" s="31"/>
      <c r="L15" s="31"/>
      <c r="M15" s="31"/>
      <c r="Q15" s="83" t="s">
        <v>77</v>
      </c>
      <c r="R15" s="84"/>
      <c r="S15" s="217"/>
      <c r="V15" s="206"/>
    </row>
    <row r="16" spans="1:22" ht="12" customHeight="1" x14ac:dyDescent="0.25">
      <c r="B16" s="428" t="s">
        <v>703</v>
      </c>
      <c r="C16" s="427">
        <v>126525.19843269516</v>
      </c>
      <c r="D16" s="251"/>
      <c r="E16" s="251"/>
      <c r="F16" s="31"/>
      <c r="G16" s="48"/>
      <c r="H16" s="31"/>
      <c r="I16" s="31"/>
      <c r="J16" s="31"/>
      <c r="K16" s="31"/>
      <c r="L16" s="31"/>
      <c r="M16" s="31"/>
      <c r="Q16" s="83" t="s">
        <v>71</v>
      </c>
      <c r="R16" s="84"/>
      <c r="S16" s="217"/>
      <c r="V16" s="206"/>
    </row>
    <row r="17" spans="2:25" ht="12" customHeight="1" x14ac:dyDescent="0.25">
      <c r="B17" s="428" t="s">
        <v>704</v>
      </c>
      <c r="C17" s="427">
        <v>234554.28405027918</v>
      </c>
      <c r="D17" s="251"/>
      <c r="E17" s="251"/>
      <c r="F17" s="31"/>
      <c r="G17" s="48"/>
      <c r="H17" s="31"/>
      <c r="I17" s="31"/>
      <c r="J17" s="31"/>
      <c r="K17" s="31"/>
      <c r="L17" s="31"/>
      <c r="M17" s="31"/>
      <c r="Q17" s="83" t="s">
        <v>66</v>
      </c>
      <c r="R17" s="88"/>
      <c r="S17" s="217"/>
      <c r="V17" s="206"/>
    </row>
    <row r="18" spans="2:25" ht="12" customHeight="1" x14ac:dyDescent="0.25">
      <c r="B18" s="428" t="s">
        <v>706</v>
      </c>
      <c r="C18" s="427">
        <v>23135.457056048122</v>
      </c>
      <c r="D18" s="251"/>
      <c r="E18" s="251"/>
      <c r="F18" s="31"/>
      <c r="G18" s="48"/>
      <c r="H18" s="31"/>
      <c r="I18" s="31"/>
      <c r="J18" s="31"/>
      <c r="K18" s="31"/>
      <c r="L18" s="31"/>
      <c r="M18" s="31"/>
      <c r="Q18" s="83"/>
      <c r="R18" s="423"/>
      <c r="S18" s="217"/>
      <c r="V18" s="206"/>
    </row>
    <row r="19" spans="2:25" ht="12" customHeight="1" x14ac:dyDescent="0.25">
      <c r="B19" s="428" t="s">
        <v>708</v>
      </c>
      <c r="C19" s="427">
        <v>22452.106867924522</v>
      </c>
      <c r="D19" s="251"/>
      <c r="E19" s="251"/>
      <c r="F19" s="31"/>
      <c r="G19" s="48"/>
      <c r="H19" s="31"/>
      <c r="I19" s="31"/>
      <c r="J19" s="31"/>
      <c r="K19" s="31"/>
      <c r="L19" s="31"/>
      <c r="M19" s="31"/>
      <c r="Q19" s="83"/>
      <c r="R19" s="423"/>
      <c r="S19" s="217"/>
      <c r="V19" s="206"/>
    </row>
    <row r="20" spans="2:25" ht="12" customHeight="1" x14ac:dyDescent="0.25">
      <c r="B20" s="428" t="s">
        <v>710</v>
      </c>
      <c r="C20" s="427">
        <v>230185.53258490594</v>
      </c>
      <c r="D20" s="251"/>
      <c r="E20" s="251"/>
      <c r="F20" s="31"/>
      <c r="G20" s="48"/>
      <c r="H20" s="31"/>
      <c r="I20" s="31"/>
      <c r="J20" s="31"/>
      <c r="K20" s="31"/>
      <c r="L20" s="31"/>
      <c r="M20" s="31"/>
      <c r="Q20" s="83" t="s">
        <v>60</v>
      </c>
      <c r="R20" s="88"/>
      <c r="S20" s="217"/>
      <c r="V20" s="206"/>
    </row>
    <row r="21" spans="2:25" ht="12" customHeight="1" x14ac:dyDescent="0.25">
      <c r="B21" s="429" t="s">
        <v>777</v>
      </c>
      <c r="C21" s="430">
        <f>SUM(C9:C20)</f>
        <v>771299.94673635159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Q21" s="83" t="s">
        <v>59</v>
      </c>
      <c r="R21" s="84"/>
      <c r="S21" s="217"/>
      <c r="V21" s="206"/>
    </row>
    <row r="22" spans="2:25" ht="15.75" customHeight="1" x14ac:dyDescent="0.25">
      <c r="B22" s="13" t="s">
        <v>53</v>
      </c>
      <c r="C22" s="38"/>
      <c r="D22" s="31"/>
      <c r="E22" s="31"/>
      <c r="F22" s="31"/>
      <c r="G22" s="49"/>
      <c r="H22" s="31"/>
      <c r="I22" s="31"/>
      <c r="J22" s="31"/>
      <c r="K22" s="31"/>
      <c r="L22" s="31"/>
      <c r="M22" s="31"/>
      <c r="Q22" s="29"/>
      <c r="R22" s="87"/>
      <c r="S22" s="90"/>
      <c r="V22" s="206"/>
    </row>
    <row r="23" spans="2:25" ht="12" customHeight="1" x14ac:dyDescent="0.25">
      <c r="B23" s="18" t="s">
        <v>81</v>
      </c>
      <c r="C23" s="42"/>
      <c r="D23" s="31"/>
      <c r="E23" s="31"/>
      <c r="F23" s="31"/>
      <c r="G23" s="31"/>
      <c r="H23" s="31"/>
      <c r="I23" s="31"/>
      <c r="J23" s="43"/>
      <c r="K23" s="43"/>
      <c r="L23" s="43"/>
      <c r="M23" s="43"/>
      <c r="N23" s="43"/>
      <c r="O23" s="43"/>
      <c r="P23" s="43"/>
      <c r="Q23" s="43"/>
      <c r="R23" s="31"/>
      <c r="S23" s="69"/>
      <c r="T23" s="69"/>
      <c r="U23" s="69"/>
      <c r="V23" s="206"/>
    </row>
    <row r="24" spans="2:25" ht="15" customHeight="1" x14ac:dyDescent="0.25">
      <c r="S24" s="206"/>
      <c r="T24" s="206"/>
      <c r="U24" s="206"/>
      <c r="V24" s="206"/>
    </row>
    <row r="25" spans="2:25" ht="15" customHeight="1" x14ac:dyDescent="0.25">
      <c r="S25" s="206"/>
      <c r="T25" s="206"/>
      <c r="U25" s="206"/>
      <c r="V25" s="206"/>
    </row>
    <row r="26" spans="2:25" ht="15" customHeight="1" x14ac:dyDescent="0.25">
      <c r="S26" s="206"/>
      <c r="T26" s="206"/>
      <c r="U26" s="206"/>
      <c r="V26" s="206"/>
    </row>
    <row r="27" spans="2:25" ht="15" customHeight="1" x14ac:dyDescent="0.25">
      <c r="S27" s="206"/>
      <c r="T27" s="206"/>
      <c r="U27" s="206"/>
      <c r="V27" s="206"/>
    </row>
    <row r="32" spans="2:25" ht="15.75" customHeight="1" x14ac:dyDescent="0.25">
      <c r="B32" s="91" t="s">
        <v>1647</v>
      </c>
      <c r="C32" s="31"/>
      <c r="D32" s="49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2:25" ht="12.75" customHeight="1" x14ac:dyDescent="0.25">
      <c r="B33" s="431" t="s">
        <v>147</v>
      </c>
      <c r="C33" s="431" t="s">
        <v>146</v>
      </c>
      <c r="D33" s="403" t="s">
        <v>260</v>
      </c>
      <c r="E33" s="31"/>
      <c r="F33" s="15" t="s">
        <v>267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29" t="s">
        <v>98</v>
      </c>
      <c r="Y33" s="29" t="s">
        <v>575</v>
      </c>
    </row>
    <row r="34" spans="2:25" ht="12.75" customHeight="1" x14ac:dyDescent="0.25">
      <c r="B34" s="410" t="s">
        <v>1648</v>
      </c>
      <c r="C34" s="411" t="s">
        <v>1649</v>
      </c>
      <c r="D34" s="412">
        <v>0.22599999999999998</v>
      </c>
      <c r="E34" s="31"/>
      <c r="F34" s="22" t="s">
        <v>1922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27" t="s">
        <v>162</v>
      </c>
      <c r="Y34" s="50">
        <v>69574.170899999997</v>
      </c>
    </row>
    <row r="35" spans="2:25" ht="12.75" customHeight="1" x14ac:dyDescent="0.25">
      <c r="B35" s="413" t="s">
        <v>1650</v>
      </c>
      <c r="C35" s="414" t="s">
        <v>783</v>
      </c>
      <c r="D35" s="416">
        <v>6.4909999999999997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27" t="s">
        <v>168</v>
      </c>
      <c r="Y35" s="50">
        <v>48127.847999999998</v>
      </c>
    </row>
    <row r="36" spans="2:25" ht="12.75" customHeight="1" x14ac:dyDescent="0.25">
      <c r="B36" s="413" t="s">
        <v>782</v>
      </c>
      <c r="C36" s="414" t="s">
        <v>792</v>
      </c>
      <c r="D36" s="415">
        <v>106.346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27" t="s">
        <v>170</v>
      </c>
      <c r="Y36" s="50">
        <v>41525.120029245314</v>
      </c>
    </row>
    <row r="37" spans="2:25" ht="12.75" customHeight="1" x14ac:dyDescent="0.25">
      <c r="B37" s="413"/>
      <c r="C37" s="414" t="s">
        <v>783</v>
      </c>
      <c r="D37" s="415">
        <v>9327.5810990565951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27" t="s">
        <v>150</v>
      </c>
      <c r="Y37" s="50">
        <v>34415.74899999996</v>
      </c>
    </row>
    <row r="38" spans="2:25" ht="12.75" customHeight="1" x14ac:dyDescent="0.25">
      <c r="B38" s="413" t="s">
        <v>784</v>
      </c>
      <c r="C38" s="414" t="s">
        <v>1651</v>
      </c>
      <c r="D38" s="415">
        <v>10.677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27" t="s">
        <v>158</v>
      </c>
      <c r="Y38" s="50">
        <v>33840.896000000001</v>
      </c>
    </row>
    <row r="39" spans="2:25" ht="12.75" customHeight="1" x14ac:dyDescent="0.25">
      <c r="B39" s="413"/>
      <c r="C39" s="414" t="s">
        <v>1652</v>
      </c>
      <c r="D39" s="415">
        <v>2.4009999999999998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27" t="s">
        <v>166</v>
      </c>
      <c r="Y39" s="50">
        <v>25291.448600000022</v>
      </c>
    </row>
    <row r="40" spans="2:25" ht="12.75" customHeight="1" x14ac:dyDescent="0.25">
      <c r="B40" s="413" t="s">
        <v>786</v>
      </c>
      <c r="C40" s="414" t="s">
        <v>792</v>
      </c>
      <c r="D40" s="415">
        <v>4.2089999999999996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27" t="s">
        <v>167</v>
      </c>
      <c r="Y40" s="50">
        <v>24862.116000000064</v>
      </c>
    </row>
    <row r="41" spans="2:25" ht="12.75" customHeight="1" x14ac:dyDescent="0.25">
      <c r="B41" s="413"/>
      <c r="C41" s="414" t="s">
        <v>787</v>
      </c>
      <c r="D41" s="415">
        <v>468.14757075471687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27" t="s">
        <v>149</v>
      </c>
      <c r="Y41" s="50">
        <v>22279.221264151063</v>
      </c>
    </row>
    <row r="42" spans="2:25" ht="12.75" customHeight="1" x14ac:dyDescent="0.25">
      <c r="B42" s="413"/>
      <c r="C42" s="414" t="s">
        <v>788</v>
      </c>
      <c r="D42" s="415">
        <v>2710.4766113207525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27" t="s">
        <v>163</v>
      </c>
      <c r="Y42" s="50">
        <v>20504.983000000044</v>
      </c>
    </row>
    <row r="43" spans="2:25" ht="12.75" customHeight="1" x14ac:dyDescent="0.25">
      <c r="B43" s="413" t="s">
        <v>1653</v>
      </c>
      <c r="C43" s="414" t="s">
        <v>1610</v>
      </c>
      <c r="D43" s="415">
        <v>349.92350000000016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27" t="s">
        <v>178</v>
      </c>
      <c r="Y43" s="50">
        <v>19375.64065283025</v>
      </c>
    </row>
    <row r="44" spans="2:25" ht="12.75" customHeight="1" x14ac:dyDescent="0.25">
      <c r="B44" s="413" t="s">
        <v>789</v>
      </c>
      <c r="C44" s="414" t="s">
        <v>788</v>
      </c>
      <c r="D44" s="415">
        <v>14.858000000000001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27" t="s">
        <v>165</v>
      </c>
      <c r="Y44" s="50">
        <v>17384.794049528264</v>
      </c>
    </row>
    <row r="45" spans="2:25" ht="12.75" customHeight="1" x14ac:dyDescent="0.25">
      <c r="B45" s="413"/>
      <c r="C45" s="414" t="s">
        <v>848</v>
      </c>
      <c r="D45" s="415">
        <v>6.17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27" t="s">
        <v>177</v>
      </c>
      <c r="Y45" s="50">
        <v>14732.341339622692</v>
      </c>
    </row>
    <row r="46" spans="2:25" ht="12.75" customHeight="1" x14ac:dyDescent="0.25">
      <c r="B46" s="413" t="s">
        <v>791</v>
      </c>
      <c r="C46" s="417" t="s">
        <v>792</v>
      </c>
      <c r="D46" s="415">
        <v>432.41173584905647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27" t="s">
        <v>176</v>
      </c>
      <c r="Y46" s="50">
        <v>14593.811000000007</v>
      </c>
    </row>
    <row r="47" spans="2:25" ht="12.75" customHeight="1" x14ac:dyDescent="0.25">
      <c r="B47" s="413"/>
      <c r="C47" s="414" t="s">
        <v>793</v>
      </c>
      <c r="D47" s="416">
        <v>76.482062264150969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27" t="s">
        <v>155</v>
      </c>
      <c r="Y47" s="50">
        <v>14558.825800000019</v>
      </c>
    </row>
    <row r="48" spans="2:25" ht="12.75" customHeight="1" x14ac:dyDescent="0.25">
      <c r="B48" s="413"/>
      <c r="C48" s="414" t="s">
        <v>794</v>
      </c>
      <c r="D48" s="415">
        <v>556.93898584905628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27" t="s">
        <v>153</v>
      </c>
      <c r="Y48" s="50">
        <v>11726.350999999988</v>
      </c>
    </row>
    <row r="49" spans="2:29" ht="12.75" customHeight="1" x14ac:dyDescent="0.25">
      <c r="B49" s="413" t="s">
        <v>795</v>
      </c>
      <c r="C49" s="414" t="s">
        <v>796</v>
      </c>
      <c r="D49" s="415">
        <v>38.984000000000002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27" t="s">
        <v>154</v>
      </c>
      <c r="Y49" s="50">
        <v>11676.717000000006</v>
      </c>
    </row>
    <row r="50" spans="2:29" ht="12.75" customHeight="1" x14ac:dyDescent="0.25">
      <c r="B50" s="413" t="s">
        <v>1654</v>
      </c>
      <c r="C50" s="414" t="s">
        <v>1655</v>
      </c>
      <c r="D50" s="415">
        <v>11.939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27" t="s">
        <v>171</v>
      </c>
      <c r="Y50" s="50">
        <v>10019.009999999997</v>
      </c>
    </row>
    <row r="51" spans="2:29" ht="12.75" customHeight="1" x14ac:dyDescent="0.25">
      <c r="B51" s="413" t="s">
        <v>1656</v>
      </c>
      <c r="C51" s="414" t="s">
        <v>1657</v>
      </c>
      <c r="D51" s="415">
        <v>14.951000000000001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27" t="s">
        <v>151</v>
      </c>
      <c r="Y51" s="50">
        <v>8118.42400000001</v>
      </c>
    </row>
    <row r="52" spans="2:29" ht="12.75" customHeight="1" x14ac:dyDescent="0.25">
      <c r="B52" s="413"/>
      <c r="C52" s="417" t="s">
        <v>1356</v>
      </c>
      <c r="D52" s="415">
        <v>5.7810000000000006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27" t="s">
        <v>157</v>
      </c>
      <c r="Y52" s="50">
        <v>8052.5734999999922</v>
      </c>
    </row>
    <row r="53" spans="2:29" ht="12.75" customHeight="1" x14ac:dyDescent="0.25">
      <c r="B53" s="413" t="s">
        <v>797</v>
      </c>
      <c r="C53" s="414" t="s">
        <v>798</v>
      </c>
      <c r="D53" s="415">
        <v>134.04439937106915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27" t="s">
        <v>159</v>
      </c>
      <c r="Y53" s="50">
        <v>7641.0740000000014</v>
      </c>
      <c r="AC53" s="144"/>
    </row>
    <row r="54" spans="2:29" ht="12.75" customHeight="1" x14ac:dyDescent="0.25">
      <c r="B54" s="413"/>
      <c r="C54" s="414" t="s">
        <v>799</v>
      </c>
      <c r="D54" s="415">
        <v>84.444070754716975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27" t="s">
        <v>148</v>
      </c>
      <c r="Y54" s="50">
        <v>7435.2629999999999</v>
      </c>
    </row>
    <row r="55" spans="2:29" ht="12.75" customHeight="1" x14ac:dyDescent="0.25">
      <c r="B55" s="413" t="s">
        <v>1658</v>
      </c>
      <c r="C55" s="414" t="s">
        <v>801</v>
      </c>
      <c r="D55" s="416">
        <v>11.556000000000001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2:29" ht="12.75" customHeight="1" x14ac:dyDescent="0.25">
      <c r="B56" s="413" t="s">
        <v>800</v>
      </c>
      <c r="C56" s="417" t="s">
        <v>801</v>
      </c>
      <c r="D56" s="415">
        <v>17.125999999999998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2:29" ht="12.75" customHeight="1" x14ac:dyDescent="0.25">
      <c r="B57" s="413"/>
      <c r="C57" s="414" t="s">
        <v>798</v>
      </c>
      <c r="D57" s="415">
        <v>529.80210336037771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2:29" ht="12.75" customHeight="1" x14ac:dyDescent="0.25">
      <c r="B58" s="413"/>
      <c r="C58" s="414" t="s">
        <v>1659</v>
      </c>
      <c r="D58" s="415">
        <v>1.08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2:29" ht="12.75" customHeight="1" x14ac:dyDescent="0.25">
      <c r="B59" s="413" t="s">
        <v>802</v>
      </c>
      <c r="C59" s="417" t="s">
        <v>1660</v>
      </c>
      <c r="D59" s="415">
        <v>17.436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2:29" ht="12.75" customHeight="1" x14ac:dyDescent="0.25">
      <c r="B60" s="418"/>
      <c r="C60" s="414" t="s">
        <v>792</v>
      </c>
      <c r="D60" s="415">
        <v>1617.9480000000008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2:29" ht="12.75" customHeight="1" x14ac:dyDescent="0.25">
      <c r="B61" s="418"/>
      <c r="C61" s="417" t="s">
        <v>1514</v>
      </c>
      <c r="D61" s="416">
        <v>23.189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2:29" ht="12.75" customHeight="1" x14ac:dyDescent="0.25">
      <c r="B62" s="418"/>
      <c r="C62" s="414" t="s">
        <v>1651</v>
      </c>
      <c r="D62" s="415">
        <v>77.242000000000004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2:29" ht="12.75" customHeight="1" x14ac:dyDescent="0.25">
      <c r="B63" s="418"/>
      <c r="C63" s="414" t="s">
        <v>803</v>
      </c>
      <c r="D63" s="415">
        <v>3359.5365566037722</v>
      </c>
    </row>
    <row r="64" spans="2:29" ht="12.75" customHeight="1" x14ac:dyDescent="0.25">
      <c r="B64" s="413"/>
      <c r="C64" s="414" t="s">
        <v>1661</v>
      </c>
      <c r="D64" s="415">
        <v>1.5960000000000001</v>
      </c>
    </row>
    <row r="65" spans="2:4" ht="12.75" customHeight="1" x14ac:dyDescent="0.25">
      <c r="B65" s="413"/>
      <c r="C65" s="414" t="s">
        <v>1325</v>
      </c>
      <c r="D65" s="415">
        <v>16.89</v>
      </c>
    </row>
    <row r="66" spans="2:4" ht="12.75" customHeight="1" x14ac:dyDescent="0.25">
      <c r="B66" s="413" t="s">
        <v>804</v>
      </c>
      <c r="C66" s="414" t="s">
        <v>805</v>
      </c>
      <c r="D66" s="415">
        <v>7.9749999999999996</v>
      </c>
    </row>
    <row r="67" spans="2:4" ht="12.75" customHeight="1" x14ac:dyDescent="0.25">
      <c r="B67" s="413" t="s">
        <v>1662</v>
      </c>
      <c r="C67" s="414" t="s">
        <v>1213</v>
      </c>
      <c r="D67" s="415">
        <v>0.82831603773584994</v>
      </c>
    </row>
    <row r="68" spans="2:4" ht="12.75" customHeight="1" x14ac:dyDescent="0.25">
      <c r="B68" s="413" t="s">
        <v>1663</v>
      </c>
      <c r="C68" s="414" t="s">
        <v>809</v>
      </c>
      <c r="D68" s="416">
        <v>182.17299999999997</v>
      </c>
    </row>
    <row r="69" spans="2:4" ht="12.75" customHeight="1" x14ac:dyDescent="0.25">
      <c r="B69" s="413"/>
      <c r="C69" s="414" t="s">
        <v>810</v>
      </c>
      <c r="D69" s="415">
        <v>0.28299999999999997</v>
      </c>
    </row>
    <row r="70" spans="2:4" ht="12.75" customHeight="1" x14ac:dyDescent="0.25">
      <c r="B70" s="413"/>
      <c r="C70" s="414" t="s">
        <v>1664</v>
      </c>
      <c r="D70" s="416">
        <v>7.0419999999999998</v>
      </c>
    </row>
    <row r="71" spans="2:4" ht="12.75" customHeight="1" x14ac:dyDescent="0.25">
      <c r="B71" s="413"/>
      <c r="C71" s="414" t="s">
        <v>1665</v>
      </c>
      <c r="D71" s="416">
        <v>46.137999999999991</v>
      </c>
    </row>
    <row r="72" spans="2:4" ht="12.75" customHeight="1" x14ac:dyDescent="0.25">
      <c r="B72" s="413" t="s">
        <v>808</v>
      </c>
      <c r="C72" s="414" t="s">
        <v>805</v>
      </c>
      <c r="D72" s="416">
        <v>2.7</v>
      </c>
    </row>
    <row r="73" spans="2:4" ht="12.75" customHeight="1" x14ac:dyDescent="0.25">
      <c r="B73" s="413"/>
      <c r="C73" s="414" t="s">
        <v>809</v>
      </c>
      <c r="D73" s="415">
        <v>310.85148113207543</v>
      </c>
    </row>
    <row r="74" spans="2:4" ht="12.75" customHeight="1" x14ac:dyDescent="0.25">
      <c r="B74" s="413"/>
      <c r="C74" s="417" t="s">
        <v>810</v>
      </c>
      <c r="D74" s="415">
        <v>6710.3092571132056</v>
      </c>
    </row>
    <row r="75" spans="2:4" ht="12.75" customHeight="1" x14ac:dyDescent="0.25">
      <c r="B75" s="432"/>
      <c r="C75" s="414" t="s">
        <v>1664</v>
      </c>
      <c r="D75" s="415">
        <v>1.448</v>
      </c>
    </row>
    <row r="76" spans="2:4" ht="12.75" customHeight="1" x14ac:dyDescent="0.25">
      <c r="B76" s="413"/>
      <c r="C76" s="414" t="s">
        <v>1134</v>
      </c>
      <c r="D76" s="415">
        <v>0.81899999999999995</v>
      </c>
    </row>
    <row r="77" spans="2:4" ht="12.75" customHeight="1" x14ac:dyDescent="0.25">
      <c r="B77" s="413"/>
      <c r="C77" s="417" t="s">
        <v>787</v>
      </c>
      <c r="D77" s="415">
        <v>1.897</v>
      </c>
    </row>
    <row r="78" spans="2:4" ht="12.75" customHeight="1" x14ac:dyDescent="0.25">
      <c r="B78" s="413"/>
      <c r="C78" s="417" t="s">
        <v>1040</v>
      </c>
      <c r="D78" s="415">
        <v>2.117</v>
      </c>
    </row>
    <row r="79" spans="2:4" ht="12.75" customHeight="1" x14ac:dyDescent="0.25">
      <c r="B79" s="413"/>
      <c r="C79" s="414" t="s">
        <v>1055</v>
      </c>
      <c r="D79" s="415">
        <v>3.1280000000000001</v>
      </c>
    </row>
    <row r="80" spans="2:4" ht="12.75" customHeight="1" x14ac:dyDescent="0.25">
      <c r="B80" s="413"/>
      <c r="C80" s="414" t="s">
        <v>992</v>
      </c>
      <c r="D80" s="415">
        <v>3.4209999999999998</v>
      </c>
    </row>
    <row r="81" spans="2:5" ht="12.75" customHeight="1" x14ac:dyDescent="0.25">
      <c r="B81" s="413" t="s">
        <v>811</v>
      </c>
      <c r="C81" s="414" t="s">
        <v>812</v>
      </c>
      <c r="D81" s="415">
        <v>16934.136910377376</v>
      </c>
    </row>
    <row r="82" spans="2:5" ht="12.75" customHeight="1" x14ac:dyDescent="0.25">
      <c r="B82" s="413"/>
      <c r="C82" s="414" t="s">
        <v>813</v>
      </c>
      <c r="D82" s="415">
        <v>35.682000000000002</v>
      </c>
    </row>
    <row r="83" spans="2:5" ht="12.75" customHeight="1" x14ac:dyDescent="0.25">
      <c r="B83" s="413" t="s">
        <v>1666</v>
      </c>
      <c r="C83" s="414" t="s">
        <v>1667</v>
      </c>
      <c r="D83" s="415">
        <v>59.266999999999996</v>
      </c>
    </row>
    <row r="84" spans="2:5" ht="12.75" customHeight="1" x14ac:dyDescent="0.25">
      <c r="B84" s="413" t="s">
        <v>814</v>
      </c>
      <c r="C84" s="417" t="s">
        <v>815</v>
      </c>
      <c r="D84" s="415">
        <v>1.0779999999999998</v>
      </c>
    </row>
    <row r="85" spans="2:5" ht="12.75" customHeight="1" x14ac:dyDescent="0.25">
      <c r="B85" s="413"/>
      <c r="C85" s="417" t="s">
        <v>817</v>
      </c>
      <c r="D85" s="415">
        <v>91.151896226415104</v>
      </c>
    </row>
    <row r="86" spans="2:5" ht="12.75" customHeight="1" x14ac:dyDescent="0.25">
      <c r="B86" s="413"/>
      <c r="C86" s="417" t="s">
        <v>1270</v>
      </c>
      <c r="D86" s="415">
        <v>0.26700000000000002</v>
      </c>
    </row>
    <row r="87" spans="2:5" ht="12.75" customHeight="1" x14ac:dyDescent="0.25">
      <c r="B87" s="413"/>
      <c r="C87" s="414" t="s">
        <v>818</v>
      </c>
      <c r="D87" s="415">
        <v>4.5211084905660384</v>
      </c>
      <c r="E87" s="92"/>
    </row>
    <row r="88" spans="2:5" ht="12.75" customHeight="1" x14ac:dyDescent="0.25">
      <c r="B88" s="413"/>
      <c r="C88" s="417" t="s">
        <v>819</v>
      </c>
      <c r="D88" s="415">
        <v>7.6398616352201172</v>
      </c>
    </row>
    <row r="89" spans="2:5" ht="12.75" customHeight="1" x14ac:dyDescent="0.25">
      <c r="B89" s="413"/>
      <c r="C89" s="414" t="s">
        <v>820</v>
      </c>
      <c r="D89" s="415">
        <v>1.9698584905660375</v>
      </c>
    </row>
    <row r="90" spans="2:5" ht="12.75" customHeight="1" x14ac:dyDescent="0.25">
      <c r="B90" s="413" t="s">
        <v>821</v>
      </c>
      <c r="C90" s="414" t="s">
        <v>1668</v>
      </c>
      <c r="D90" s="415">
        <v>57.099999999999994</v>
      </c>
    </row>
    <row r="91" spans="2:5" ht="12.75" customHeight="1" x14ac:dyDescent="0.25">
      <c r="B91" s="413"/>
      <c r="C91" s="414" t="s">
        <v>822</v>
      </c>
      <c r="D91" s="415">
        <v>22.548000000000002</v>
      </c>
    </row>
    <row r="92" spans="2:5" ht="12.75" customHeight="1" x14ac:dyDescent="0.25">
      <c r="B92" s="413" t="s">
        <v>825</v>
      </c>
      <c r="C92" s="414" t="s">
        <v>824</v>
      </c>
      <c r="D92" s="415">
        <v>206.28199999999998</v>
      </c>
    </row>
    <row r="93" spans="2:5" ht="12.75" customHeight="1" x14ac:dyDescent="0.25">
      <c r="B93" s="413" t="s">
        <v>826</v>
      </c>
      <c r="C93" s="414" t="s">
        <v>827</v>
      </c>
      <c r="D93" s="415">
        <v>3.4529999999999994</v>
      </c>
    </row>
    <row r="94" spans="2:5" ht="12.75" customHeight="1" x14ac:dyDescent="0.25">
      <c r="B94" s="413" t="s">
        <v>1669</v>
      </c>
      <c r="C94" s="414" t="s">
        <v>1670</v>
      </c>
      <c r="D94" s="433">
        <v>1.8080000000000001</v>
      </c>
    </row>
    <row r="95" spans="2:5" ht="12.75" customHeight="1" x14ac:dyDescent="0.25">
      <c r="B95" s="413" t="s">
        <v>828</v>
      </c>
      <c r="C95" s="414" t="s">
        <v>829</v>
      </c>
      <c r="D95" s="415">
        <v>61.78346226415092</v>
      </c>
    </row>
    <row r="96" spans="2:5" ht="12.75" customHeight="1" x14ac:dyDescent="0.25">
      <c r="B96" s="413"/>
      <c r="C96" s="414" t="s">
        <v>830</v>
      </c>
      <c r="D96" s="415">
        <v>0.77100000000000002</v>
      </c>
    </row>
    <row r="97" spans="2:4" ht="12.75" customHeight="1" x14ac:dyDescent="0.25">
      <c r="B97" s="413" t="s">
        <v>1671</v>
      </c>
      <c r="C97" s="417" t="s">
        <v>832</v>
      </c>
      <c r="D97" s="415">
        <v>2.2639999999999998</v>
      </c>
    </row>
    <row r="98" spans="2:4" ht="12.75" customHeight="1" x14ac:dyDescent="0.25">
      <c r="B98" s="413"/>
      <c r="C98" s="417" t="s">
        <v>854</v>
      </c>
      <c r="D98" s="415">
        <v>3.8210000000000002</v>
      </c>
    </row>
    <row r="99" spans="2:4" ht="12.75" customHeight="1" x14ac:dyDescent="0.25">
      <c r="B99" s="413" t="s">
        <v>1672</v>
      </c>
      <c r="C99" s="414" t="s">
        <v>1673</v>
      </c>
      <c r="D99" s="415">
        <v>3.6960000000000002</v>
      </c>
    </row>
    <row r="100" spans="2:4" ht="12.75" customHeight="1" x14ac:dyDescent="0.25">
      <c r="B100" s="413" t="s">
        <v>831</v>
      </c>
      <c r="C100" s="414" t="s">
        <v>833</v>
      </c>
      <c r="D100" s="415">
        <v>11.997999999999999</v>
      </c>
    </row>
    <row r="101" spans="2:4" ht="12.75" customHeight="1" x14ac:dyDescent="0.25">
      <c r="B101" s="413" t="s">
        <v>834</v>
      </c>
      <c r="C101" s="414" t="s">
        <v>835</v>
      </c>
      <c r="D101" s="415">
        <v>27.033000000000001</v>
      </c>
    </row>
    <row r="102" spans="2:4" ht="12.75" customHeight="1" x14ac:dyDescent="0.25">
      <c r="B102" s="413" t="s">
        <v>836</v>
      </c>
      <c r="C102" s="414" t="s">
        <v>837</v>
      </c>
      <c r="D102" s="415">
        <v>132.98893396226416</v>
      </c>
    </row>
    <row r="103" spans="2:4" ht="12.75" customHeight="1" x14ac:dyDescent="0.25">
      <c r="B103" s="413"/>
      <c r="C103" s="414" t="s">
        <v>838</v>
      </c>
      <c r="D103" s="415">
        <v>5525.6414575471699</v>
      </c>
    </row>
    <row r="104" spans="2:4" ht="12.75" customHeight="1" x14ac:dyDescent="0.25">
      <c r="B104" s="413"/>
      <c r="C104" s="414" t="s">
        <v>839</v>
      </c>
      <c r="D104" s="415">
        <v>2.4</v>
      </c>
    </row>
    <row r="105" spans="2:4" ht="12.75" customHeight="1" x14ac:dyDescent="0.25">
      <c r="B105" s="413"/>
      <c r="C105" s="414" t="s">
        <v>886</v>
      </c>
      <c r="D105" s="415">
        <v>1.4670000000000001</v>
      </c>
    </row>
    <row r="106" spans="2:4" ht="12.75" customHeight="1" x14ac:dyDescent="0.25">
      <c r="B106" s="413"/>
      <c r="C106" s="414" t="s">
        <v>861</v>
      </c>
      <c r="D106" s="416">
        <v>0.439</v>
      </c>
    </row>
    <row r="107" spans="2:4" ht="12.75" customHeight="1" x14ac:dyDescent="0.25">
      <c r="B107" s="413" t="s">
        <v>840</v>
      </c>
      <c r="C107" s="414" t="s">
        <v>805</v>
      </c>
      <c r="D107" s="415">
        <v>124.19455188679245</v>
      </c>
    </row>
    <row r="108" spans="2:4" ht="12.75" customHeight="1" x14ac:dyDescent="0.25">
      <c r="B108" s="413"/>
      <c r="C108" s="417" t="s">
        <v>841</v>
      </c>
      <c r="D108" s="415">
        <v>22.964745283018871</v>
      </c>
    </row>
    <row r="109" spans="2:4" ht="12.75" customHeight="1" x14ac:dyDescent="0.25">
      <c r="B109" s="413" t="s">
        <v>842</v>
      </c>
      <c r="C109" s="417" t="s">
        <v>841</v>
      </c>
      <c r="D109" s="415">
        <v>176.32955188679239</v>
      </c>
    </row>
    <row r="110" spans="2:4" ht="12.75" customHeight="1" x14ac:dyDescent="0.25">
      <c r="B110" s="413" t="s">
        <v>1674</v>
      </c>
      <c r="C110" s="414" t="s">
        <v>1090</v>
      </c>
      <c r="D110" s="415">
        <v>4.5019999999999998</v>
      </c>
    </row>
    <row r="111" spans="2:4" ht="12.75" customHeight="1" x14ac:dyDescent="0.25">
      <c r="B111" s="413" t="s">
        <v>843</v>
      </c>
      <c r="C111" s="414" t="s">
        <v>787</v>
      </c>
      <c r="D111" s="416">
        <v>8.4604245283018837</v>
      </c>
    </row>
    <row r="112" spans="2:4" ht="12.75" customHeight="1" x14ac:dyDescent="0.25">
      <c r="B112" s="413"/>
      <c r="C112" s="414" t="s">
        <v>788</v>
      </c>
      <c r="D112" s="415">
        <v>92.595626415094301</v>
      </c>
    </row>
    <row r="113" spans="2:4" ht="12.75" customHeight="1" x14ac:dyDescent="0.25">
      <c r="B113" s="413"/>
      <c r="C113" s="414" t="s">
        <v>844</v>
      </c>
      <c r="D113" s="416">
        <v>340.05629088050347</v>
      </c>
    </row>
    <row r="114" spans="2:4" ht="12.75" customHeight="1" x14ac:dyDescent="0.25">
      <c r="B114" s="413"/>
      <c r="C114" s="414" t="s">
        <v>845</v>
      </c>
      <c r="D114" s="415">
        <v>74.566396226415108</v>
      </c>
    </row>
    <row r="115" spans="2:4" ht="12.75" customHeight="1" x14ac:dyDescent="0.25">
      <c r="B115" s="413"/>
      <c r="C115" s="414" t="s">
        <v>846</v>
      </c>
      <c r="D115" s="415">
        <v>95.228665094339604</v>
      </c>
    </row>
    <row r="116" spans="2:4" ht="12.75" customHeight="1" x14ac:dyDescent="0.25">
      <c r="B116" s="413"/>
      <c r="C116" s="414" t="s">
        <v>847</v>
      </c>
      <c r="D116" s="415">
        <v>1.9984433962264161</v>
      </c>
    </row>
    <row r="117" spans="2:4" ht="12.75" customHeight="1" x14ac:dyDescent="0.25">
      <c r="B117" s="413"/>
      <c r="C117" s="414" t="s">
        <v>848</v>
      </c>
      <c r="D117" s="415">
        <v>1183.2302167320795</v>
      </c>
    </row>
    <row r="118" spans="2:4" ht="12.75" customHeight="1" x14ac:dyDescent="0.25">
      <c r="B118" s="413"/>
      <c r="C118" s="414" t="s">
        <v>849</v>
      </c>
      <c r="D118" s="416">
        <v>1.301084905660377</v>
      </c>
    </row>
    <row r="119" spans="2:4" ht="12.75" customHeight="1" x14ac:dyDescent="0.25">
      <c r="B119" s="413"/>
      <c r="C119" s="414" t="s">
        <v>850</v>
      </c>
      <c r="D119" s="415">
        <v>250.74071635220096</v>
      </c>
    </row>
    <row r="120" spans="2:4" ht="12.75" customHeight="1" x14ac:dyDescent="0.25">
      <c r="B120" s="413" t="s">
        <v>851</v>
      </c>
      <c r="C120" s="414" t="s">
        <v>852</v>
      </c>
      <c r="D120" s="433">
        <v>4.2709999999999999</v>
      </c>
    </row>
    <row r="121" spans="2:4" ht="12.75" customHeight="1" x14ac:dyDescent="0.25">
      <c r="B121" s="413" t="s">
        <v>853</v>
      </c>
      <c r="C121" s="414" t="s">
        <v>854</v>
      </c>
      <c r="D121" s="416">
        <v>56685.402048113137</v>
      </c>
    </row>
    <row r="122" spans="2:4" ht="12.75" customHeight="1" x14ac:dyDescent="0.25">
      <c r="B122" s="413"/>
      <c r="C122" s="414" t="s">
        <v>855</v>
      </c>
      <c r="D122" s="415">
        <v>100.28100000000001</v>
      </c>
    </row>
    <row r="123" spans="2:4" ht="12.75" customHeight="1" x14ac:dyDescent="0.25">
      <c r="B123" s="413" t="s">
        <v>856</v>
      </c>
      <c r="C123" s="414" t="s">
        <v>854</v>
      </c>
      <c r="D123" s="416">
        <v>2171.5050000000001</v>
      </c>
    </row>
    <row r="124" spans="2:4" ht="12.75" customHeight="1" x14ac:dyDescent="0.25">
      <c r="B124" s="413" t="s">
        <v>857</v>
      </c>
      <c r="C124" s="414" t="s">
        <v>855</v>
      </c>
      <c r="D124" s="416">
        <v>3.7989999999999999</v>
      </c>
    </row>
    <row r="125" spans="2:4" ht="12.75" customHeight="1" x14ac:dyDescent="0.25">
      <c r="B125" s="413" t="s">
        <v>1675</v>
      </c>
      <c r="C125" s="417" t="s">
        <v>896</v>
      </c>
      <c r="D125" s="415">
        <v>11.398999999999999</v>
      </c>
    </row>
    <row r="126" spans="2:4" ht="12.75" customHeight="1" x14ac:dyDescent="0.25">
      <c r="B126" s="413" t="s">
        <v>860</v>
      </c>
      <c r="C126" s="414" t="s">
        <v>841</v>
      </c>
      <c r="D126" s="415">
        <v>74.873000000000005</v>
      </c>
    </row>
    <row r="127" spans="2:4" ht="12.75" customHeight="1" x14ac:dyDescent="0.25">
      <c r="B127" s="413" t="s">
        <v>1676</v>
      </c>
      <c r="C127" s="417" t="s">
        <v>896</v>
      </c>
      <c r="D127" s="415">
        <v>2.6859999999999999</v>
      </c>
    </row>
    <row r="128" spans="2:4" ht="12.75" customHeight="1" x14ac:dyDescent="0.25">
      <c r="B128" s="413" t="s">
        <v>1677</v>
      </c>
      <c r="C128" s="414" t="s">
        <v>867</v>
      </c>
      <c r="D128" s="415">
        <v>0.27100000000000002</v>
      </c>
    </row>
    <row r="129" spans="2:4" ht="12.75" customHeight="1" x14ac:dyDescent="0.25">
      <c r="B129" s="413" t="s">
        <v>862</v>
      </c>
      <c r="C129" s="414" t="s">
        <v>863</v>
      </c>
      <c r="D129" s="416">
        <v>26650.802619616119</v>
      </c>
    </row>
    <row r="130" spans="2:4" ht="12.75" customHeight="1" x14ac:dyDescent="0.25">
      <c r="B130" s="413"/>
      <c r="C130" s="414" t="s">
        <v>864</v>
      </c>
      <c r="D130" s="415">
        <v>34.007739622641509</v>
      </c>
    </row>
    <row r="131" spans="2:4" ht="12.75" customHeight="1" x14ac:dyDescent="0.25">
      <c r="B131" s="413"/>
      <c r="C131" s="417" t="s">
        <v>865</v>
      </c>
      <c r="D131" s="415">
        <v>705.27453773584909</v>
      </c>
    </row>
    <row r="132" spans="2:4" ht="12.75" customHeight="1" x14ac:dyDescent="0.25">
      <c r="B132" s="413"/>
      <c r="C132" s="417" t="s">
        <v>866</v>
      </c>
      <c r="D132" s="415">
        <v>3370.9258707547142</v>
      </c>
    </row>
    <row r="133" spans="2:4" ht="12.75" customHeight="1" x14ac:dyDescent="0.25">
      <c r="B133" s="413"/>
      <c r="C133" s="414" t="s">
        <v>867</v>
      </c>
      <c r="D133" s="416">
        <v>7755.6717693069158</v>
      </c>
    </row>
    <row r="134" spans="2:4" ht="12.75" customHeight="1" x14ac:dyDescent="0.25">
      <c r="B134" s="413"/>
      <c r="C134" s="414" t="s">
        <v>1678</v>
      </c>
      <c r="D134" s="416">
        <v>15.764000000000001</v>
      </c>
    </row>
    <row r="135" spans="2:4" ht="12.75" customHeight="1" x14ac:dyDescent="0.25">
      <c r="B135" s="413"/>
      <c r="C135" s="414" t="s">
        <v>868</v>
      </c>
      <c r="D135" s="415">
        <v>80.474500000000006</v>
      </c>
    </row>
    <row r="136" spans="2:4" ht="12.75" customHeight="1" x14ac:dyDescent="0.25">
      <c r="B136" s="413"/>
      <c r="C136" s="414" t="s">
        <v>869</v>
      </c>
      <c r="D136" s="415">
        <v>308.86110849056604</v>
      </c>
    </row>
    <row r="137" spans="2:4" ht="12.75" customHeight="1" x14ac:dyDescent="0.25">
      <c r="B137" s="413" t="s">
        <v>870</v>
      </c>
      <c r="C137" s="414" t="s">
        <v>863</v>
      </c>
      <c r="D137" s="415">
        <v>407.95919811320755</v>
      </c>
    </row>
    <row r="138" spans="2:4" ht="12.75" customHeight="1" x14ac:dyDescent="0.25">
      <c r="B138" s="413"/>
      <c r="C138" s="414" t="s">
        <v>866</v>
      </c>
      <c r="D138" s="415">
        <v>0.95499999999999996</v>
      </c>
    </row>
    <row r="139" spans="2:4" ht="12.75" customHeight="1" x14ac:dyDescent="0.25">
      <c r="B139" s="413"/>
      <c r="C139" s="414" t="s">
        <v>868</v>
      </c>
      <c r="D139" s="415">
        <v>1507.8845235849055</v>
      </c>
    </row>
    <row r="140" spans="2:4" ht="12.75" customHeight="1" x14ac:dyDescent="0.25">
      <c r="B140" s="413"/>
      <c r="C140" s="414" t="s">
        <v>871</v>
      </c>
      <c r="D140" s="415">
        <v>0.63700000000000001</v>
      </c>
    </row>
    <row r="141" spans="2:4" ht="12.75" customHeight="1" x14ac:dyDescent="0.25">
      <c r="B141" s="413" t="s">
        <v>872</v>
      </c>
      <c r="C141" s="414" t="s">
        <v>863</v>
      </c>
      <c r="D141" s="415">
        <v>3229.8872324339627</v>
      </c>
    </row>
    <row r="142" spans="2:4" ht="12.75" customHeight="1" x14ac:dyDescent="0.25">
      <c r="B142" s="413"/>
      <c r="C142" s="414" t="s">
        <v>866</v>
      </c>
      <c r="D142" s="415">
        <v>2375.0307149433961</v>
      </c>
    </row>
    <row r="143" spans="2:4" ht="12.75" customHeight="1" x14ac:dyDescent="0.25">
      <c r="B143" s="413"/>
      <c r="C143" s="414" t="s">
        <v>867</v>
      </c>
      <c r="D143" s="415">
        <v>569.85700000000008</v>
      </c>
    </row>
    <row r="144" spans="2:4" ht="12.75" customHeight="1" x14ac:dyDescent="0.25">
      <c r="B144" s="413" t="s">
        <v>874</v>
      </c>
      <c r="C144" s="414" t="s">
        <v>867</v>
      </c>
      <c r="D144" s="415">
        <v>97.97600943396229</v>
      </c>
    </row>
    <row r="145" spans="2:4" ht="12.75" customHeight="1" x14ac:dyDescent="0.25">
      <c r="B145" s="413" t="s">
        <v>875</v>
      </c>
      <c r="C145" s="414" t="s">
        <v>867</v>
      </c>
      <c r="D145" s="415">
        <v>40.104000000000006</v>
      </c>
    </row>
    <row r="146" spans="2:4" ht="12.75" customHeight="1" x14ac:dyDescent="0.25">
      <c r="B146" s="413" t="s">
        <v>876</v>
      </c>
      <c r="C146" s="414" t="s">
        <v>863</v>
      </c>
      <c r="D146" s="415">
        <v>40.686240566037739</v>
      </c>
    </row>
    <row r="147" spans="2:4" ht="12.75" customHeight="1" x14ac:dyDescent="0.25">
      <c r="B147" s="413"/>
      <c r="C147" s="414" t="s">
        <v>867</v>
      </c>
      <c r="D147" s="415">
        <v>8.9691037735849033</v>
      </c>
    </row>
    <row r="148" spans="2:4" ht="12.75" customHeight="1" x14ac:dyDescent="0.25">
      <c r="B148" s="413"/>
      <c r="C148" s="414" t="s">
        <v>868</v>
      </c>
      <c r="D148" s="415">
        <v>1.6925943396226411</v>
      </c>
    </row>
    <row r="149" spans="2:4" ht="12.75" customHeight="1" x14ac:dyDescent="0.25">
      <c r="B149" s="413" t="s">
        <v>1679</v>
      </c>
      <c r="C149" s="414" t="s">
        <v>1232</v>
      </c>
      <c r="D149" s="415">
        <v>9.2119999999999997</v>
      </c>
    </row>
    <row r="150" spans="2:4" ht="12.75" customHeight="1" x14ac:dyDescent="0.25">
      <c r="B150" s="413" t="s">
        <v>877</v>
      </c>
      <c r="C150" s="414" t="s">
        <v>878</v>
      </c>
      <c r="D150" s="415">
        <v>8.5839999999999996</v>
      </c>
    </row>
    <row r="151" spans="2:4" ht="12.75" customHeight="1" x14ac:dyDescent="0.25">
      <c r="B151" s="413"/>
      <c r="C151" s="414" t="s">
        <v>879</v>
      </c>
      <c r="D151" s="415">
        <v>263.2279339622641</v>
      </c>
    </row>
    <row r="152" spans="2:4" ht="12.75" customHeight="1" x14ac:dyDescent="0.25">
      <c r="B152" s="413"/>
      <c r="C152" s="414" t="s">
        <v>880</v>
      </c>
      <c r="D152" s="415">
        <v>181.85087924528304</v>
      </c>
    </row>
    <row r="153" spans="2:4" ht="12.75" customHeight="1" x14ac:dyDescent="0.25">
      <c r="B153" s="413"/>
      <c r="C153" s="414" t="s">
        <v>881</v>
      </c>
      <c r="D153" s="415">
        <v>6.2530000000000001</v>
      </c>
    </row>
    <row r="154" spans="2:4" ht="12.75" customHeight="1" x14ac:dyDescent="0.25">
      <c r="B154" s="413" t="s">
        <v>882</v>
      </c>
      <c r="C154" s="414" t="s">
        <v>879</v>
      </c>
      <c r="D154" s="415">
        <v>19.483000000000001</v>
      </c>
    </row>
    <row r="155" spans="2:4" ht="12.75" customHeight="1" x14ac:dyDescent="0.25">
      <c r="B155" s="413" t="s">
        <v>883</v>
      </c>
      <c r="C155" s="414" t="s">
        <v>880</v>
      </c>
      <c r="D155" s="415">
        <v>12.25</v>
      </c>
    </row>
    <row r="156" spans="2:4" ht="12.75" customHeight="1" x14ac:dyDescent="0.25">
      <c r="B156" s="413"/>
      <c r="C156" s="414" t="s">
        <v>881</v>
      </c>
      <c r="D156" s="415">
        <v>47.801000000000002</v>
      </c>
    </row>
    <row r="157" spans="2:4" ht="12.75" customHeight="1" x14ac:dyDescent="0.25">
      <c r="B157" s="413" t="s">
        <v>884</v>
      </c>
      <c r="C157" s="414" t="s">
        <v>885</v>
      </c>
      <c r="D157" s="415">
        <v>2.5299999999999998</v>
      </c>
    </row>
    <row r="158" spans="2:4" ht="12.75" customHeight="1" x14ac:dyDescent="0.25">
      <c r="B158" s="413"/>
      <c r="C158" s="414" t="s">
        <v>1680</v>
      </c>
      <c r="D158" s="415">
        <v>4.569</v>
      </c>
    </row>
    <row r="159" spans="2:4" ht="12.75" customHeight="1" x14ac:dyDescent="0.25">
      <c r="B159" s="413"/>
      <c r="C159" s="414" t="s">
        <v>1681</v>
      </c>
      <c r="D159" s="415">
        <v>1.3560000000000001</v>
      </c>
    </row>
    <row r="160" spans="2:4" ht="12.75" customHeight="1" x14ac:dyDescent="0.25">
      <c r="B160" s="413"/>
      <c r="C160" s="414" t="s">
        <v>886</v>
      </c>
      <c r="D160" s="415">
        <v>2591.4703955974874</v>
      </c>
    </row>
    <row r="161" spans="2:5" ht="12.75" customHeight="1" x14ac:dyDescent="0.25">
      <c r="B161" s="413"/>
      <c r="C161" s="414" t="s">
        <v>888</v>
      </c>
      <c r="D161" s="415">
        <v>93.989075471698072</v>
      </c>
      <c r="E161" s="92"/>
    </row>
    <row r="162" spans="2:5" ht="12.75" customHeight="1" x14ac:dyDescent="0.25">
      <c r="B162" s="413"/>
      <c r="C162" s="414" t="s">
        <v>889</v>
      </c>
      <c r="D162" s="415">
        <v>104.13553773584906</v>
      </c>
    </row>
    <row r="163" spans="2:5" ht="12.75" customHeight="1" x14ac:dyDescent="0.25">
      <c r="B163" s="413"/>
      <c r="C163" s="414" t="s">
        <v>873</v>
      </c>
      <c r="D163" s="415">
        <v>0.82199999999999995</v>
      </c>
    </row>
    <row r="164" spans="2:5" ht="12.75" customHeight="1" x14ac:dyDescent="0.25">
      <c r="B164" s="413"/>
      <c r="C164" s="414" t="s">
        <v>893</v>
      </c>
      <c r="D164" s="415">
        <v>553.85483962264163</v>
      </c>
    </row>
    <row r="165" spans="2:5" ht="12.75" customHeight="1" x14ac:dyDescent="0.25">
      <c r="B165" s="413"/>
      <c r="C165" s="414" t="s">
        <v>1514</v>
      </c>
      <c r="D165" s="415">
        <v>1.996</v>
      </c>
    </row>
    <row r="166" spans="2:5" ht="12.75" customHeight="1" x14ac:dyDescent="0.25">
      <c r="B166" s="413"/>
      <c r="C166" s="414" t="s">
        <v>1682</v>
      </c>
      <c r="D166" s="415">
        <v>1.948</v>
      </c>
    </row>
    <row r="167" spans="2:5" ht="12.75" customHeight="1" x14ac:dyDescent="0.25">
      <c r="B167" s="413"/>
      <c r="C167" s="414" t="s">
        <v>894</v>
      </c>
      <c r="D167" s="415">
        <v>1.2589999999999999</v>
      </c>
    </row>
    <row r="168" spans="2:5" ht="15.75" customHeight="1" x14ac:dyDescent="0.25">
      <c r="B168" s="413"/>
      <c r="C168" s="414" t="s">
        <v>1507</v>
      </c>
      <c r="D168" s="415">
        <v>4.67</v>
      </c>
    </row>
    <row r="169" spans="2:5" ht="15.75" customHeight="1" x14ac:dyDescent="0.25">
      <c r="B169" s="413"/>
      <c r="C169" s="414" t="s">
        <v>881</v>
      </c>
      <c r="D169" s="415">
        <v>3.1506882452830176</v>
      </c>
    </row>
    <row r="170" spans="2:5" ht="15.75" customHeight="1" x14ac:dyDescent="0.25">
      <c r="B170" s="413" t="s">
        <v>895</v>
      </c>
      <c r="C170" s="414" t="s">
        <v>896</v>
      </c>
      <c r="D170" s="415">
        <v>7.1997452830188697</v>
      </c>
    </row>
    <row r="171" spans="2:5" ht="15.75" customHeight="1" x14ac:dyDescent="0.25">
      <c r="B171" s="413"/>
      <c r="C171" s="414" t="s">
        <v>1683</v>
      </c>
      <c r="D171" s="415">
        <v>2.9510000000000001</v>
      </c>
    </row>
    <row r="172" spans="2:5" ht="15.75" customHeight="1" x14ac:dyDescent="0.25">
      <c r="B172" s="413"/>
      <c r="C172" s="414" t="s">
        <v>1198</v>
      </c>
      <c r="D172" s="415">
        <v>51.664999999999999</v>
      </c>
    </row>
    <row r="173" spans="2:5" ht="15.75" customHeight="1" x14ac:dyDescent="0.25">
      <c r="B173" s="413"/>
      <c r="C173" s="414" t="s">
        <v>886</v>
      </c>
      <c r="D173" s="415">
        <v>15.554000000000002</v>
      </c>
    </row>
    <row r="174" spans="2:5" ht="15.75" customHeight="1" x14ac:dyDescent="0.25">
      <c r="B174" s="413"/>
      <c r="C174" s="414" t="s">
        <v>892</v>
      </c>
      <c r="D174" s="415">
        <v>27.894698113207546</v>
      </c>
    </row>
    <row r="175" spans="2:5" ht="15.75" customHeight="1" x14ac:dyDescent="0.25">
      <c r="B175" s="413"/>
      <c r="C175" s="414" t="s">
        <v>893</v>
      </c>
      <c r="D175" s="415">
        <v>985.13861006289346</v>
      </c>
    </row>
    <row r="176" spans="2:5" ht="15.75" customHeight="1" x14ac:dyDescent="0.25">
      <c r="B176" s="413"/>
      <c r="C176" s="414" t="s">
        <v>1682</v>
      </c>
      <c r="D176" s="415">
        <v>18.185000000000002</v>
      </c>
    </row>
    <row r="177" spans="2:4" ht="15.75" customHeight="1" x14ac:dyDescent="0.25">
      <c r="B177" s="413" t="s">
        <v>1684</v>
      </c>
      <c r="C177" s="414" t="s">
        <v>894</v>
      </c>
      <c r="D177" s="415">
        <v>0.73399999999999999</v>
      </c>
    </row>
    <row r="178" spans="2:4" ht="15" customHeight="1" x14ac:dyDescent="0.25">
      <c r="B178" s="413" t="s">
        <v>1685</v>
      </c>
      <c r="C178" s="414" t="s">
        <v>1198</v>
      </c>
      <c r="D178" s="415">
        <v>50.27</v>
      </c>
    </row>
    <row r="179" spans="2:4" ht="15" customHeight="1" x14ac:dyDescent="0.25">
      <c r="B179" s="413" t="s">
        <v>897</v>
      </c>
      <c r="C179" s="414" t="s">
        <v>893</v>
      </c>
      <c r="D179" s="415">
        <v>2.2502122641509428</v>
      </c>
    </row>
    <row r="180" spans="2:4" ht="15" customHeight="1" x14ac:dyDescent="0.25">
      <c r="B180" s="413" t="s">
        <v>898</v>
      </c>
      <c r="C180" s="414" t="s">
        <v>899</v>
      </c>
      <c r="D180" s="415">
        <v>1043.2222059748428</v>
      </c>
    </row>
    <row r="181" spans="2:4" ht="15" customHeight="1" x14ac:dyDescent="0.25">
      <c r="B181" s="413"/>
      <c r="C181" s="414" t="s">
        <v>900</v>
      </c>
      <c r="D181" s="415">
        <v>423.24299999999999</v>
      </c>
    </row>
    <row r="182" spans="2:4" ht="15.75" customHeight="1" x14ac:dyDescent="0.25">
      <c r="B182" s="413" t="s">
        <v>901</v>
      </c>
      <c r="C182" s="414" t="s">
        <v>899</v>
      </c>
      <c r="D182" s="415">
        <v>735.56530943396217</v>
      </c>
    </row>
    <row r="183" spans="2:4" ht="15" customHeight="1" x14ac:dyDescent="0.25">
      <c r="B183" s="413"/>
      <c r="C183" s="414" t="s">
        <v>879</v>
      </c>
      <c r="D183" s="415">
        <v>1611.736599999999</v>
      </c>
    </row>
    <row r="184" spans="2:4" ht="15.75" customHeight="1" x14ac:dyDescent="0.25">
      <c r="B184" s="413"/>
      <c r="C184" s="414" t="s">
        <v>900</v>
      </c>
      <c r="D184" s="415">
        <v>4495.3506294367689</v>
      </c>
    </row>
    <row r="185" spans="2:4" ht="15.75" customHeight="1" x14ac:dyDescent="0.25">
      <c r="B185" s="413"/>
      <c r="C185" s="414" t="s">
        <v>902</v>
      </c>
      <c r="D185" s="415">
        <v>270.70899999999995</v>
      </c>
    </row>
    <row r="186" spans="2:4" ht="15" customHeight="1" x14ac:dyDescent="0.25">
      <c r="B186" s="413" t="s">
        <v>903</v>
      </c>
      <c r="C186" s="414" t="s">
        <v>904</v>
      </c>
      <c r="D186" s="415">
        <v>9.8507169811320754</v>
      </c>
    </row>
    <row r="187" spans="2:4" ht="15.75" customHeight="1" x14ac:dyDescent="0.25">
      <c r="B187" s="413"/>
      <c r="C187" s="414" t="s">
        <v>798</v>
      </c>
      <c r="D187" s="415">
        <v>6.8120000000000003</v>
      </c>
    </row>
    <row r="188" spans="2:4" ht="15.75" customHeight="1" x14ac:dyDescent="0.25">
      <c r="B188" s="413" t="s">
        <v>906</v>
      </c>
      <c r="C188" s="414" t="s">
        <v>907</v>
      </c>
      <c r="D188" s="415">
        <v>105.29608962264147</v>
      </c>
    </row>
    <row r="189" spans="2:4" ht="15.75" customHeight="1" x14ac:dyDescent="0.25">
      <c r="B189" s="413" t="s">
        <v>908</v>
      </c>
      <c r="C189" s="414" t="s">
        <v>787</v>
      </c>
      <c r="D189" s="415">
        <v>2004.111608396227</v>
      </c>
    </row>
    <row r="190" spans="2:4" ht="15" customHeight="1" x14ac:dyDescent="0.25">
      <c r="B190" s="413"/>
      <c r="C190" s="414" t="s">
        <v>788</v>
      </c>
      <c r="D190" s="415">
        <v>35.091000000000001</v>
      </c>
    </row>
    <row r="191" spans="2:4" ht="15.75" customHeight="1" x14ac:dyDescent="0.25">
      <c r="B191" s="413" t="s">
        <v>909</v>
      </c>
      <c r="C191" s="414" t="s">
        <v>910</v>
      </c>
      <c r="D191" s="415">
        <v>0.45202830188679299</v>
      </c>
    </row>
    <row r="192" spans="2:4" ht="15" customHeight="1" x14ac:dyDescent="0.25">
      <c r="B192" s="413"/>
      <c r="C192" s="414" t="s">
        <v>911</v>
      </c>
      <c r="D192" s="415">
        <v>1400.7781905615097</v>
      </c>
    </row>
    <row r="193" spans="2:4" ht="15.75" customHeight="1" x14ac:dyDescent="0.25">
      <c r="B193" s="413" t="s">
        <v>912</v>
      </c>
      <c r="C193" s="414" t="s">
        <v>910</v>
      </c>
      <c r="D193" s="415">
        <v>18.155838050314451</v>
      </c>
    </row>
    <row r="194" spans="2:4" ht="15" customHeight="1" x14ac:dyDescent="0.25">
      <c r="B194" s="413" t="s">
        <v>913</v>
      </c>
      <c r="C194" s="414" t="s">
        <v>914</v>
      </c>
      <c r="D194" s="415">
        <v>7.2380000000000004</v>
      </c>
    </row>
    <row r="195" spans="2:4" ht="15" customHeight="1" x14ac:dyDescent="0.25">
      <c r="B195" s="413"/>
      <c r="C195" s="414" t="s">
        <v>915</v>
      </c>
      <c r="D195" s="415">
        <v>11623.342322569175</v>
      </c>
    </row>
    <row r="196" spans="2:4" ht="15" customHeight="1" x14ac:dyDescent="0.25">
      <c r="B196" s="413"/>
      <c r="C196" s="414" t="s">
        <v>916</v>
      </c>
      <c r="D196" s="415">
        <v>1897.1876839622648</v>
      </c>
    </row>
    <row r="197" spans="2:4" ht="15" customHeight="1" x14ac:dyDescent="0.25">
      <c r="B197" s="413"/>
      <c r="C197" s="414" t="s">
        <v>917</v>
      </c>
      <c r="D197" s="415">
        <v>74.161000000000001</v>
      </c>
    </row>
    <row r="198" spans="2:4" ht="15.75" customHeight="1" x14ac:dyDescent="0.25">
      <c r="B198" s="413"/>
      <c r="C198" s="414" t="s">
        <v>865</v>
      </c>
      <c r="D198" s="415">
        <v>6.47</v>
      </c>
    </row>
    <row r="199" spans="2:4" ht="15.75" customHeight="1" x14ac:dyDescent="0.25">
      <c r="B199" s="413" t="s">
        <v>1686</v>
      </c>
      <c r="C199" s="414" t="s">
        <v>916</v>
      </c>
      <c r="D199" s="415">
        <v>28.227</v>
      </c>
    </row>
    <row r="200" spans="2:4" ht="15.75" customHeight="1" x14ac:dyDescent="0.25">
      <c r="B200" s="413" t="s">
        <v>1687</v>
      </c>
      <c r="C200" s="414" t="s">
        <v>915</v>
      </c>
      <c r="D200" s="415">
        <v>0.39600000000000002</v>
      </c>
    </row>
    <row r="201" spans="2:4" ht="15" customHeight="1" x14ac:dyDescent="0.25">
      <c r="B201" s="413" t="s">
        <v>1688</v>
      </c>
      <c r="C201" s="414" t="s">
        <v>812</v>
      </c>
      <c r="D201" s="415">
        <v>232.25299999999999</v>
      </c>
    </row>
    <row r="202" spans="2:4" ht="15" customHeight="1" x14ac:dyDescent="0.25">
      <c r="B202" s="413" t="s">
        <v>919</v>
      </c>
      <c r="C202" s="414" t="s">
        <v>1689</v>
      </c>
      <c r="D202" s="415">
        <v>1.0609999999999999</v>
      </c>
    </row>
    <row r="203" spans="2:4" ht="15" customHeight="1" x14ac:dyDescent="0.25">
      <c r="B203" s="413"/>
      <c r="C203" s="414" t="s">
        <v>921</v>
      </c>
      <c r="D203" s="415">
        <v>191.22299999999998</v>
      </c>
    </row>
    <row r="204" spans="2:4" ht="15.75" customHeight="1" x14ac:dyDescent="0.25">
      <c r="B204" s="413"/>
      <c r="C204" s="414" t="s">
        <v>923</v>
      </c>
      <c r="D204" s="415">
        <v>0.217</v>
      </c>
    </row>
    <row r="205" spans="2:4" ht="15.75" customHeight="1" x14ac:dyDescent="0.25">
      <c r="B205" s="413" t="s">
        <v>1690</v>
      </c>
      <c r="C205" s="414" t="s">
        <v>921</v>
      </c>
      <c r="D205" s="415">
        <v>7.1370000000000005</v>
      </c>
    </row>
    <row r="206" spans="2:4" ht="15" customHeight="1" x14ac:dyDescent="0.25">
      <c r="B206" s="413" t="s">
        <v>925</v>
      </c>
      <c r="C206" s="414" t="s">
        <v>1403</v>
      </c>
      <c r="D206" s="415">
        <v>50.576999999999998</v>
      </c>
    </row>
    <row r="207" spans="2:4" ht="15.75" customHeight="1" x14ac:dyDescent="0.25">
      <c r="B207" s="413"/>
      <c r="C207" s="414" t="s">
        <v>1691</v>
      </c>
      <c r="D207" s="415">
        <v>2.0350000000000001</v>
      </c>
    </row>
    <row r="208" spans="2:4" ht="15" customHeight="1" x14ac:dyDescent="0.25">
      <c r="B208" s="413"/>
      <c r="C208" s="414" t="s">
        <v>926</v>
      </c>
      <c r="D208" s="415">
        <v>303.26200000000006</v>
      </c>
    </row>
    <row r="209" spans="2:4" ht="15" customHeight="1" x14ac:dyDescent="0.25">
      <c r="B209" s="413"/>
      <c r="C209" s="414" t="s">
        <v>1692</v>
      </c>
      <c r="D209" s="415">
        <v>144.43299999999999</v>
      </c>
    </row>
    <row r="210" spans="2:4" ht="15.75" customHeight="1" x14ac:dyDescent="0.25">
      <c r="B210" s="413"/>
      <c r="C210" s="414" t="s">
        <v>1483</v>
      </c>
      <c r="D210" s="415">
        <v>46.382999999999996</v>
      </c>
    </row>
    <row r="211" spans="2:4" ht="15" customHeight="1" x14ac:dyDescent="0.25">
      <c r="B211" s="413"/>
      <c r="C211" s="414" t="s">
        <v>927</v>
      </c>
      <c r="D211" s="415">
        <v>909.82700000000023</v>
      </c>
    </row>
    <row r="212" spans="2:4" ht="15.75" customHeight="1" x14ac:dyDescent="0.25">
      <c r="B212" s="413"/>
      <c r="C212" s="414" t="s">
        <v>1693</v>
      </c>
      <c r="D212" s="415">
        <v>1.3959999999999999</v>
      </c>
    </row>
    <row r="213" spans="2:4" ht="15.75" customHeight="1" x14ac:dyDescent="0.25">
      <c r="B213" s="413"/>
      <c r="C213" s="414" t="s">
        <v>1694</v>
      </c>
      <c r="D213" s="415">
        <v>4.7530000000000001</v>
      </c>
    </row>
    <row r="214" spans="2:4" ht="15" customHeight="1" x14ac:dyDescent="0.25">
      <c r="B214" s="413"/>
      <c r="C214" s="414" t="s">
        <v>928</v>
      </c>
      <c r="D214" s="415">
        <v>1358.9110000000003</v>
      </c>
    </row>
    <row r="215" spans="2:4" ht="15" customHeight="1" x14ac:dyDescent="0.25">
      <c r="B215" s="413"/>
      <c r="C215" s="414" t="s">
        <v>929</v>
      </c>
      <c r="D215" s="415">
        <v>47.771000000000008</v>
      </c>
    </row>
    <row r="216" spans="2:4" ht="15" customHeight="1" x14ac:dyDescent="0.25">
      <c r="B216" s="413" t="s">
        <v>930</v>
      </c>
      <c r="C216" s="414" t="s">
        <v>1695</v>
      </c>
      <c r="D216" s="415">
        <v>0.85399999999999998</v>
      </c>
    </row>
    <row r="217" spans="2:4" ht="15" customHeight="1" x14ac:dyDescent="0.25">
      <c r="B217" s="413"/>
      <c r="C217" s="414" t="s">
        <v>931</v>
      </c>
      <c r="D217" s="415">
        <v>17.649999999999999</v>
      </c>
    </row>
    <row r="218" spans="2:4" ht="15" customHeight="1" x14ac:dyDescent="0.25">
      <c r="B218" s="413"/>
      <c r="C218" s="414" t="s">
        <v>932</v>
      </c>
      <c r="D218" s="415">
        <v>0.377</v>
      </c>
    </row>
    <row r="219" spans="2:4" ht="15" customHeight="1" x14ac:dyDescent="0.25">
      <c r="B219" s="413" t="s">
        <v>933</v>
      </c>
      <c r="C219" s="414" t="s">
        <v>934</v>
      </c>
      <c r="D219" s="415">
        <v>2.9340000000000002</v>
      </c>
    </row>
    <row r="220" spans="2:4" ht="15" customHeight="1" x14ac:dyDescent="0.25">
      <c r="B220" s="413" t="s">
        <v>1696</v>
      </c>
      <c r="C220" s="414" t="s">
        <v>936</v>
      </c>
      <c r="D220" s="415">
        <v>10.419</v>
      </c>
    </row>
    <row r="221" spans="2:4" ht="15" customHeight="1" x14ac:dyDescent="0.25">
      <c r="B221" s="413" t="s">
        <v>935</v>
      </c>
      <c r="C221" s="414" t="s">
        <v>936</v>
      </c>
      <c r="D221" s="415">
        <v>1778.7979634528303</v>
      </c>
    </row>
    <row r="222" spans="2:4" ht="15" customHeight="1" x14ac:dyDescent="0.25">
      <c r="B222" s="413" t="s">
        <v>937</v>
      </c>
      <c r="C222" s="414" t="s">
        <v>936</v>
      </c>
      <c r="D222" s="415">
        <v>1659.847594339624</v>
      </c>
    </row>
    <row r="223" spans="2:4" ht="15" customHeight="1" x14ac:dyDescent="0.25">
      <c r="B223" s="413"/>
      <c r="C223" s="414" t="s">
        <v>938</v>
      </c>
      <c r="D223" s="415">
        <v>36.180542452830188</v>
      </c>
    </row>
    <row r="224" spans="2:4" ht="15" customHeight="1" x14ac:dyDescent="0.25">
      <c r="B224" s="413" t="s">
        <v>1697</v>
      </c>
      <c r="C224" s="414" t="s">
        <v>1698</v>
      </c>
      <c r="D224" s="415">
        <v>71.228999999999999</v>
      </c>
    </row>
    <row r="225" spans="2:4" ht="15.75" customHeight="1" x14ac:dyDescent="0.25">
      <c r="B225" s="413" t="s">
        <v>939</v>
      </c>
      <c r="C225" s="414" t="s">
        <v>940</v>
      </c>
      <c r="D225" s="415">
        <v>12667.611621979288</v>
      </c>
    </row>
    <row r="226" spans="2:4" ht="15.75" customHeight="1" x14ac:dyDescent="0.25">
      <c r="B226" s="413" t="s">
        <v>941</v>
      </c>
      <c r="C226" s="414" t="s">
        <v>1349</v>
      </c>
      <c r="D226" s="415">
        <v>89.423999999999978</v>
      </c>
    </row>
    <row r="227" spans="2:4" ht="15" customHeight="1" x14ac:dyDescent="0.25">
      <c r="B227" s="413"/>
      <c r="C227" s="414" t="s">
        <v>899</v>
      </c>
      <c r="D227" s="415">
        <v>2052.9101132075452</v>
      </c>
    </row>
    <row r="228" spans="2:4" ht="15" customHeight="1" x14ac:dyDescent="0.25">
      <c r="B228" s="413"/>
      <c r="C228" s="414" t="s">
        <v>1699</v>
      </c>
      <c r="D228" s="415">
        <v>366.44199999999972</v>
      </c>
    </row>
    <row r="229" spans="2:4" ht="15.75" customHeight="1" x14ac:dyDescent="0.25">
      <c r="B229" s="413"/>
      <c r="C229" s="414" t="s">
        <v>1700</v>
      </c>
      <c r="D229" s="415">
        <v>20.131999999999998</v>
      </c>
    </row>
    <row r="230" spans="2:4" ht="15.75" customHeight="1" x14ac:dyDescent="0.25">
      <c r="B230" s="413"/>
      <c r="C230" s="414" t="s">
        <v>1260</v>
      </c>
      <c r="D230" s="415">
        <v>5.9409999999999998</v>
      </c>
    </row>
    <row r="231" spans="2:4" ht="15.75" customHeight="1" x14ac:dyDescent="0.25">
      <c r="B231" s="413"/>
      <c r="C231" s="414" t="s">
        <v>879</v>
      </c>
      <c r="D231" s="415">
        <v>318.54815566037729</v>
      </c>
    </row>
    <row r="232" spans="2:4" ht="15" customHeight="1" x14ac:dyDescent="0.25">
      <c r="B232" s="413"/>
      <c r="C232" s="414" t="s">
        <v>942</v>
      </c>
      <c r="D232" s="415">
        <v>301.18700000000001</v>
      </c>
    </row>
    <row r="233" spans="2:4" ht="15" customHeight="1" x14ac:dyDescent="0.25">
      <c r="B233" s="413"/>
      <c r="C233" s="414" t="s">
        <v>1261</v>
      </c>
      <c r="D233" s="415">
        <v>8.4960000000000004</v>
      </c>
    </row>
    <row r="234" spans="2:4" ht="15" customHeight="1" x14ac:dyDescent="0.25">
      <c r="B234" s="413" t="s">
        <v>1701</v>
      </c>
      <c r="C234" s="414" t="s">
        <v>1699</v>
      </c>
      <c r="D234" s="415">
        <v>366.74099999999993</v>
      </c>
    </row>
    <row r="235" spans="2:4" ht="15" customHeight="1" x14ac:dyDescent="0.25">
      <c r="B235" s="413"/>
      <c r="C235" s="414" t="s">
        <v>942</v>
      </c>
      <c r="D235" s="415">
        <v>124.35500000000002</v>
      </c>
    </row>
    <row r="236" spans="2:4" ht="15" customHeight="1" x14ac:dyDescent="0.25">
      <c r="B236" s="413" t="s">
        <v>1702</v>
      </c>
      <c r="C236" s="414" t="s">
        <v>1582</v>
      </c>
      <c r="D236" s="415">
        <v>21.225000000000001</v>
      </c>
    </row>
    <row r="237" spans="2:4" ht="15" customHeight="1" x14ac:dyDescent="0.25">
      <c r="B237" s="413" t="s">
        <v>943</v>
      </c>
      <c r="C237" s="414" t="s">
        <v>790</v>
      </c>
      <c r="D237" s="415">
        <v>412.32871698113206</v>
      </c>
    </row>
    <row r="238" spans="2:4" ht="15" customHeight="1" x14ac:dyDescent="0.25">
      <c r="B238" s="413"/>
      <c r="C238" s="414" t="s">
        <v>845</v>
      </c>
      <c r="D238" s="415">
        <v>3.5750000000000002</v>
      </c>
    </row>
    <row r="239" spans="2:4" ht="15" customHeight="1" x14ac:dyDescent="0.25">
      <c r="B239" s="413"/>
      <c r="C239" s="414" t="s">
        <v>944</v>
      </c>
      <c r="D239" s="415">
        <v>149.42700000000002</v>
      </c>
    </row>
    <row r="240" spans="2:4" ht="15" customHeight="1" x14ac:dyDescent="0.25">
      <c r="B240" s="413"/>
      <c r="C240" s="414" t="s">
        <v>848</v>
      </c>
      <c r="D240" s="415">
        <v>22.797000000000001</v>
      </c>
    </row>
    <row r="241" spans="2:4" ht="15" customHeight="1" x14ac:dyDescent="0.25">
      <c r="B241" s="413"/>
      <c r="C241" s="414" t="s">
        <v>945</v>
      </c>
      <c r="D241" s="415">
        <v>20.286999999999999</v>
      </c>
    </row>
    <row r="242" spans="2:4" ht="15" customHeight="1" x14ac:dyDescent="0.25">
      <c r="B242" s="413" t="s">
        <v>946</v>
      </c>
      <c r="C242" s="414" t="s">
        <v>790</v>
      </c>
      <c r="D242" s="415">
        <v>65.451999999999998</v>
      </c>
    </row>
    <row r="243" spans="2:4" ht="15" customHeight="1" x14ac:dyDescent="0.25">
      <c r="B243" s="413"/>
      <c r="C243" s="414" t="s">
        <v>944</v>
      </c>
      <c r="D243" s="415">
        <v>24.427</v>
      </c>
    </row>
    <row r="244" spans="2:4" ht="15" customHeight="1" x14ac:dyDescent="0.25">
      <c r="B244" s="413"/>
      <c r="C244" s="414" t="s">
        <v>846</v>
      </c>
      <c r="D244" s="415">
        <v>8.49</v>
      </c>
    </row>
    <row r="245" spans="2:4" ht="15.75" customHeight="1" x14ac:dyDescent="0.25">
      <c r="B245" s="413" t="s">
        <v>948</v>
      </c>
      <c r="C245" s="414" t="s">
        <v>949</v>
      </c>
      <c r="D245" s="415">
        <v>5.8495047169811327</v>
      </c>
    </row>
    <row r="246" spans="2:4" ht="15.75" customHeight="1" x14ac:dyDescent="0.25">
      <c r="B246" s="413"/>
      <c r="C246" s="414" t="s">
        <v>950</v>
      </c>
      <c r="D246" s="415">
        <v>88.899570754717047</v>
      </c>
    </row>
    <row r="247" spans="2:4" ht="15.75" customHeight="1" x14ac:dyDescent="0.25">
      <c r="B247" s="413"/>
      <c r="C247" s="414" t="s">
        <v>1703</v>
      </c>
      <c r="D247" s="415">
        <v>57.764792452830143</v>
      </c>
    </row>
    <row r="248" spans="2:4" ht="15" customHeight="1" x14ac:dyDescent="0.25">
      <c r="B248" s="413" t="s">
        <v>952</v>
      </c>
      <c r="C248" s="414" t="s">
        <v>953</v>
      </c>
      <c r="D248" s="415">
        <v>26.709999999999997</v>
      </c>
    </row>
    <row r="249" spans="2:4" ht="15" customHeight="1" x14ac:dyDescent="0.25">
      <c r="B249" s="413"/>
      <c r="C249" s="414" t="s">
        <v>959</v>
      </c>
      <c r="D249" s="415">
        <v>49.180000000000007</v>
      </c>
    </row>
    <row r="250" spans="2:4" ht="15" customHeight="1" x14ac:dyDescent="0.25">
      <c r="B250" s="413"/>
      <c r="C250" s="414" t="s">
        <v>955</v>
      </c>
      <c r="D250" s="415">
        <v>349.47699999999992</v>
      </c>
    </row>
    <row r="251" spans="2:4" ht="15" customHeight="1" x14ac:dyDescent="0.25">
      <c r="B251" s="413"/>
      <c r="C251" s="414" t="s">
        <v>956</v>
      </c>
      <c r="D251" s="415">
        <v>911.12300000000005</v>
      </c>
    </row>
    <row r="252" spans="2:4" ht="15" customHeight="1" x14ac:dyDescent="0.25">
      <c r="B252" s="413" t="s">
        <v>957</v>
      </c>
      <c r="C252" s="414" t="s">
        <v>956</v>
      </c>
      <c r="D252" s="415">
        <v>81.183000000000007</v>
      </c>
    </row>
    <row r="253" spans="2:4" ht="15" customHeight="1" x14ac:dyDescent="0.25">
      <c r="B253" s="413" t="s">
        <v>958</v>
      </c>
      <c r="C253" s="414" t="s">
        <v>959</v>
      </c>
      <c r="D253" s="415">
        <v>16.866000000000003</v>
      </c>
    </row>
    <row r="254" spans="2:4" ht="15" customHeight="1" x14ac:dyDescent="0.25">
      <c r="B254" s="413"/>
      <c r="C254" s="414" t="s">
        <v>955</v>
      </c>
      <c r="D254" s="415">
        <v>0.29199999999999998</v>
      </c>
    </row>
    <row r="255" spans="2:4" ht="15" customHeight="1" x14ac:dyDescent="0.25">
      <c r="B255" s="413" t="s">
        <v>960</v>
      </c>
      <c r="C255" s="414" t="s">
        <v>961</v>
      </c>
      <c r="D255" s="415">
        <v>142.93731603773583</v>
      </c>
    </row>
    <row r="256" spans="2:4" ht="15.75" customHeight="1" x14ac:dyDescent="0.25">
      <c r="B256" s="413"/>
      <c r="C256" s="414" t="s">
        <v>953</v>
      </c>
      <c r="D256" s="415">
        <v>219.01557547169807</v>
      </c>
    </row>
    <row r="257" spans="2:4" ht="15.75" customHeight="1" x14ac:dyDescent="0.25">
      <c r="B257" s="413"/>
      <c r="C257" s="414" t="s">
        <v>1673</v>
      </c>
      <c r="D257" s="415">
        <v>154.03100000000001</v>
      </c>
    </row>
    <row r="258" spans="2:4" ht="15" customHeight="1" x14ac:dyDescent="0.25">
      <c r="B258" s="413" t="s">
        <v>963</v>
      </c>
      <c r="C258" s="414" t="s">
        <v>959</v>
      </c>
      <c r="D258" s="415">
        <v>32.031999999999996</v>
      </c>
    </row>
    <row r="259" spans="2:4" ht="15" customHeight="1" x14ac:dyDescent="0.25">
      <c r="B259" s="413" t="s">
        <v>964</v>
      </c>
      <c r="C259" s="414" t="s">
        <v>1673</v>
      </c>
      <c r="D259" s="415">
        <v>16.766999999999999</v>
      </c>
    </row>
    <row r="260" spans="2:4" ht="15.75" customHeight="1" x14ac:dyDescent="0.25">
      <c r="B260" s="413"/>
      <c r="C260" s="414" t="s">
        <v>955</v>
      </c>
      <c r="D260" s="415">
        <v>51.660000000000004</v>
      </c>
    </row>
    <row r="261" spans="2:4" ht="15" customHeight="1" x14ac:dyDescent="0.25">
      <c r="B261" s="413" t="s">
        <v>965</v>
      </c>
      <c r="C261" s="414" t="s">
        <v>961</v>
      </c>
      <c r="D261" s="415">
        <v>69.616</v>
      </c>
    </row>
    <row r="262" spans="2:4" ht="15" customHeight="1" x14ac:dyDescent="0.25">
      <c r="B262" s="413" t="s">
        <v>967</v>
      </c>
      <c r="C262" s="414" t="s">
        <v>959</v>
      </c>
      <c r="D262" s="415">
        <v>269.54644339622644</v>
      </c>
    </row>
    <row r="263" spans="2:4" ht="15" customHeight="1" x14ac:dyDescent="0.25">
      <c r="B263" s="413" t="s">
        <v>968</v>
      </c>
      <c r="C263" s="414" t="s">
        <v>959</v>
      </c>
      <c r="D263" s="415">
        <v>3.8280000000000003</v>
      </c>
    </row>
    <row r="264" spans="2:4" ht="15" customHeight="1" x14ac:dyDescent="0.25">
      <c r="B264" s="413"/>
      <c r="C264" s="414" t="s">
        <v>956</v>
      </c>
      <c r="D264" s="415">
        <v>4.8888443396226302</v>
      </c>
    </row>
    <row r="265" spans="2:4" ht="15" customHeight="1" x14ac:dyDescent="0.25">
      <c r="B265" s="413" t="s">
        <v>969</v>
      </c>
      <c r="C265" s="414" t="s">
        <v>970</v>
      </c>
      <c r="D265" s="415">
        <v>143.51900000000003</v>
      </c>
    </row>
    <row r="266" spans="2:4" ht="15.75" customHeight="1" x14ac:dyDescent="0.25">
      <c r="B266" s="413"/>
      <c r="C266" s="414" t="s">
        <v>972</v>
      </c>
      <c r="D266" s="415">
        <v>4.5889999999999995</v>
      </c>
    </row>
    <row r="267" spans="2:4" ht="15.75" customHeight="1" x14ac:dyDescent="0.25">
      <c r="B267" s="413" t="s">
        <v>1704</v>
      </c>
      <c r="C267" s="414" t="s">
        <v>796</v>
      </c>
      <c r="D267" s="415">
        <v>0.20300000000000001</v>
      </c>
    </row>
    <row r="268" spans="2:4" ht="15" customHeight="1" x14ac:dyDescent="0.25">
      <c r="B268" s="413" t="s">
        <v>973</v>
      </c>
      <c r="C268" s="414" t="s">
        <v>974</v>
      </c>
      <c r="D268" s="415">
        <v>6.4070000000000018</v>
      </c>
    </row>
    <row r="269" spans="2:4" ht="15" customHeight="1" x14ac:dyDescent="0.25">
      <c r="B269" s="413"/>
      <c r="C269" s="414" t="s">
        <v>1703</v>
      </c>
      <c r="D269" s="415">
        <v>0.33100000000000002</v>
      </c>
    </row>
    <row r="270" spans="2:4" ht="15.75" customHeight="1" x14ac:dyDescent="0.25">
      <c r="B270" s="413" t="s">
        <v>975</v>
      </c>
      <c r="C270" s="414" t="s">
        <v>955</v>
      </c>
      <c r="D270" s="415">
        <v>1074.8699056603766</v>
      </c>
    </row>
    <row r="271" spans="2:4" ht="15" customHeight="1" x14ac:dyDescent="0.25">
      <c r="B271" s="413" t="s">
        <v>978</v>
      </c>
      <c r="C271" s="414" t="s">
        <v>1705</v>
      </c>
      <c r="D271" s="415">
        <v>19.329999999999998</v>
      </c>
    </row>
    <row r="272" spans="2:4" ht="15" customHeight="1" x14ac:dyDescent="0.25">
      <c r="B272" s="413" t="s">
        <v>981</v>
      </c>
      <c r="C272" s="414" t="s">
        <v>982</v>
      </c>
      <c r="D272" s="415">
        <v>26.471641509433962</v>
      </c>
    </row>
    <row r="273" spans="2:4" ht="15.75" customHeight="1" x14ac:dyDescent="0.25">
      <c r="B273" s="413"/>
      <c r="C273" s="414" t="s">
        <v>983</v>
      </c>
      <c r="D273" s="415">
        <v>11.612</v>
      </c>
    </row>
    <row r="274" spans="2:4" ht="15.75" customHeight="1" x14ac:dyDescent="0.25">
      <c r="B274" s="413" t="s">
        <v>984</v>
      </c>
      <c r="C274" s="414" t="s">
        <v>985</v>
      </c>
      <c r="D274" s="415">
        <v>40.228000000000002</v>
      </c>
    </row>
    <row r="275" spans="2:4" ht="15.75" customHeight="1" x14ac:dyDescent="0.25">
      <c r="B275" s="413"/>
      <c r="C275" s="414" t="s">
        <v>885</v>
      </c>
      <c r="D275" s="415">
        <v>57.776999999999973</v>
      </c>
    </row>
    <row r="276" spans="2:4" ht="15" customHeight="1" x14ac:dyDescent="0.25">
      <c r="B276" s="413"/>
      <c r="C276" s="414" t="s">
        <v>859</v>
      </c>
      <c r="D276" s="415">
        <v>210.87422641509448</v>
      </c>
    </row>
    <row r="277" spans="2:4" ht="15" customHeight="1" x14ac:dyDescent="0.25">
      <c r="B277" s="413"/>
      <c r="C277" s="414" t="s">
        <v>986</v>
      </c>
      <c r="D277" s="415">
        <v>187.41499999999996</v>
      </c>
    </row>
    <row r="278" spans="2:4" ht="15.75" customHeight="1" x14ac:dyDescent="0.25">
      <c r="B278" s="413"/>
      <c r="C278" s="414" t="s">
        <v>987</v>
      </c>
      <c r="D278" s="415">
        <v>900.45223795597508</v>
      </c>
    </row>
    <row r="279" spans="2:4" ht="15.75" customHeight="1" x14ac:dyDescent="0.25">
      <c r="B279" s="413"/>
      <c r="C279" s="414" t="s">
        <v>932</v>
      </c>
      <c r="D279" s="415">
        <v>12.736999999999998</v>
      </c>
    </row>
    <row r="280" spans="2:4" ht="15" customHeight="1" x14ac:dyDescent="0.25">
      <c r="B280" s="413" t="s">
        <v>989</v>
      </c>
      <c r="C280" s="414" t="s">
        <v>982</v>
      </c>
      <c r="D280" s="415">
        <v>4.1331132075471704</v>
      </c>
    </row>
    <row r="281" spans="2:4" ht="15.75" customHeight="1" x14ac:dyDescent="0.25">
      <c r="B281" s="413"/>
      <c r="C281" s="414" t="s">
        <v>990</v>
      </c>
      <c r="D281" s="415">
        <v>10.259</v>
      </c>
    </row>
    <row r="282" spans="2:4" ht="15" customHeight="1" x14ac:dyDescent="0.25">
      <c r="B282" s="413" t="s">
        <v>991</v>
      </c>
      <c r="C282" s="414" t="s">
        <v>1706</v>
      </c>
      <c r="D282" s="415">
        <v>3.8090000000000002</v>
      </c>
    </row>
    <row r="283" spans="2:4" ht="15" customHeight="1" x14ac:dyDescent="0.25">
      <c r="B283" s="413"/>
      <c r="C283" s="414" t="s">
        <v>992</v>
      </c>
      <c r="D283" s="415">
        <v>341.58854795597489</v>
      </c>
    </row>
    <row r="284" spans="2:4" ht="15.75" customHeight="1" x14ac:dyDescent="0.25">
      <c r="B284" s="413"/>
      <c r="C284" s="414" t="s">
        <v>993</v>
      </c>
      <c r="D284" s="415">
        <v>537.53891666666686</v>
      </c>
    </row>
    <row r="285" spans="2:4" ht="15" customHeight="1" x14ac:dyDescent="0.25">
      <c r="B285" s="413" t="s">
        <v>1707</v>
      </c>
      <c r="C285" s="414" t="s">
        <v>1568</v>
      </c>
      <c r="D285" s="415">
        <v>2.3609999999999998</v>
      </c>
    </row>
    <row r="286" spans="2:4" ht="15.75" customHeight="1" x14ac:dyDescent="0.25">
      <c r="B286" s="413"/>
      <c r="C286" s="414" t="s">
        <v>1708</v>
      </c>
      <c r="D286" s="415">
        <v>24.242000000000001</v>
      </c>
    </row>
    <row r="287" spans="2:4" ht="15.75" customHeight="1" x14ac:dyDescent="0.25">
      <c r="B287" s="413" t="s">
        <v>994</v>
      </c>
      <c r="C287" s="414" t="s">
        <v>995</v>
      </c>
      <c r="D287" s="415">
        <v>1.1485613207547158</v>
      </c>
    </row>
    <row r="288" spans="2:4" ht="15.75" customHeight="1" x14ac:dyDescent="0.25">
      <c r="B288" s="413" t="s">
        <v>996</v>
      </c>
      <c r="C288" s="414" t="s">
        <v>997</v>
      </c>
      <c r="D288" s="415">
        <v>931.36307311320718</v>
      </c>
    </row>
    <row r="289" spans="2:4" ht="15.75" customHeight="1" x14ac:dyDescent="0.25">
      <c r="B289" s="413"/>
      <c r="C289" s="414" t="s">
        <v>885</v>
      </c>
      <c r="D289" s="415">
        <v>20.847948113207543</v>
      </c>
    </row>
    <row r="290" spans="2:4" ht="15.75" customHeight="1" x14ac:dyDescent="0.25">
      <c r="B290" s="413"/>
      <c r="C290" s="414" t="s">
        <v>859</v>
      </c>
      <c r="D290" s="415">
        <v>90.525000000000006</v>
      </c>
    </row>
    <row r="291" spans="2:4" ht="15.75" customHeight="1" x14ac:dyDescent="0.25">
      <c r="B291" s="413"/>
      <c r="C291" s="414" t="s">
        <v>1709</v>
      </c>
      <c r="D291" s="415">
        <v>1.4E-2</v>
      </c>
    </row>
    <row r="292" spans="2:4" ht="15" customHeight="1" x14ac:dyDescent="0.25">
      <c r="B292" s="413" t="s">
        <v>998</v>
      </c>
      <c r="C292" s="414" t="s">
        <v>1710</v>
      </c>
      <c r="D292" s="415">
        <v>1.526</v>
      </c>
    </row>
    <row r="293" spans="2:4" ht="15" customHeight="1" x14ac:dyDescent="0.25">
      <c r="B293" s="413"/>
      <c r="C293" s="414" t="s">
        <v>1000</v>
      </c>
      <c r="D293" s="415">
        <v>2.9450471698113194</v>
      </c>
    </row>
    <row r="294" spans="2:4" ht="15" customHeight="1" x14ac:dyDescent="0.25">
      <c r="B294" s="413"/>
      <c r="C294" s="414" t="s">
        <v>1001</v>
      </c>
      <c r="D294" s="415">
        <v>106.51635534591193</v>
      </c>
    </row>
    <row r="295" spans="2:4" ht="15.75" customHeight="1" x14ac:dyDescent="0.25">
      <c r="B295" s="413" t="s">
        <v>1002</v>
      </c>
      <c r="C295" s="414" t="s">
        <v>1711</v>
      </c>
      <c r="D295" s="415">
        <v>11.337</v>
      </c>
    </row>
    <row r="296" spans="2:4" ht="15.75" customHeight="1" x14ac:dyDescent="0.25">
      <c r="B296" s="413"/>
      <c r="C296" s="414" t="s">
        <v>1712</v>
      </c>
      <c r="D296" s="415">
        <v>21.67</v>
      </c>
    </row>
    <row r="297" spans="2:4" ht="15" customHeight="1" x14ac:dyDescent="0.25">
      <c r="B297" s="413"/>
      <c r="C297" s="414" t="s">
        <v>1710</v>
      </c>
      <c r="D297" s="415">
        <v>15.426000000000002</v>
      </c>
    </row>
    <row r="298" spans="2:4" ht="15.75" customHeight="1" x14ac:dyDescent="0.25">
      <c r="B298" s="413"/>
      <c r="C298" s="414" t="s">
        <v>1000</v>
      </c>
      <c r="D298" s="415">
        <v>34.894999999999996</v>
      </c>
    </row>
    <row r="299" spans="2:4" ht="15.75" customHeight="1" x14ac:dyDescent="0.25">
      <c r="B299" s="413" t="s">
        <v>1004</v>
      </c>
      <c r="C299" s="414" t="s">
        <v>1006</v>
      </c>
      <c r="D299" s="415">
        <v>40.406846547169806</v>
      </c>
    </row>
    <row r="300" spans="2:4" ht="15.75" customHeight="1" x14ac:dyDescent="0.25">
      <c r="B300" s="413" t="s">
        <v>1007</v>
      </c>
      <c r="C300" s="414" t="s">
        <v>1008</v>
      </c>
      <c r="D300" s="415">
        <v>74.949000000000012</v>
      </c>
    </row>
    <row r="301" spans="2:4" ht="15.75" customHeight="1" x14ac:dyDescent="0.25">
      <c r="B301" s="413"/>
      <c r="C301" s="414" t="s">
        <v>1009</v>
      </c>
      <c r="D301" s="415">
        <v>24.237556603773573</v>
      </c>
    </row>
    <row r="302" spans="2:4" ht="15" customHeight="1" x14ac:dyDescent="0.25">
      <c r="B302" s="413"/>
      <c r="C302" s="414" t="s">
        <v>1713</v>
      </c>
      <c r="D302" s="415">
        <v>171.87000000000006</v>
      </c>
    </row>
    <row r="303" spans="2:4" ht="15.75" customHeight="1" x14ac:dyDescent="0.25">
      <c r="B303" s="413"/>
      <c r="C303" s="414" t="s">
        <v>1011</v>
      </c>
      <c r="D303" s="415">
        <v>191.51557881132064</v>
      </c>
    </row>
    <row r="304" spans="2:4" ht="15.75" customHeight="1" x14ac:dyDescent="0.25">
      <c r="B304" s="413"/>
      <c r="C304" s="414" t="s">
        <v>1714</v>
      </c>
      <c r="D304" s="415">
        <v>48.61</v>
      </c>
    </row>
    <row r="305" spans="2:4" ht="15.75" customHeight="1" x14ac:dyDescent="0.25">
      <c r="B305" s="413"/>
      <c r="C305" s="414" t="s">
        <v>1131</v>
      </c>
      <c r="D305" s="415">
        <v>2.3719999999999999</v>
      </c>
    </row>
    <row r="306" spans="2:4" ht="15" customHeight="1" x14ac:dyDescent="0.25">
      <c r="B306" s="413" t="s">
        <v>1013</v>
      </c>
      <c r="C306" s="414" t="s">
        <v>1014</v>
      </c>
      <c r="D306" s="415">
        <v>1.8068301886792459</v>
      </c>
    </row>
    <row r="307" spans="2:4" ht="15" customHeight="1" x14ac:dyDescent="0.25">
      <c r="B307" s="413" t="s">
        <v>1715</v>
      </c>
      <c r="C307" s="414" t="s">
        <v>1008</v>
      </c>
      <c r="D307" s="415">
        <v>4.83</v>
      </c>
    </row>
    <row r="308" spans="2:4" ht="15" customHeight="1" x14ac:dyDescent="0.25">
      <c r="B308" s="413"/>
      <c r="C308" s="414" t="s">
        <v>1012</v>
      </c>
      <c r="D308" s="415">
        <v>8.3209999999999997</v>
      </c>
    </row>
    <row r="309" spans="2:4" ht="15" customHeight="1" x14ac:dyDescent="0.25">
      <c r="B309" s="413" t="s">
        <v>1716</v>
      </c>
      <c r="C309" s="414" t="s">
        <v>879</v>
      </c>
      <c r="D309" s="415">
        <v>65.048999999999992</v>
      </c>
    </row>
    <row r="310" spans="2:4" ht="15.75" customHeight="1" x14ac:dyDescent="0.25">
      <c r="B310" s="413" t="s">
        <v>1717</v>
      </c>
      <c r="C310" s="414" t="s">
        <v>1119</v>
      </c>
      <c r="D310" s="415">
        <v>12.877000000000001</v>
      </c>
    </row>
    <row r="311" spans="2:4" ht="15" customHeight="1" x14ac:dyDescent="0.25">
      <c r="B311" s="413" t="s">
        <v>1017</v>
      </c>
      <c r="C311" s="414" t="s">
        <v>567</v>
      </c>
      <c r="D311" s="415">
        <v>1.6540000000000001</v>
      </c>
    </row>
    <row r="312" spans="2:4" ht="15.75" customHeight="1" x14ac:dyDescent="0.25">
      <c r="B312" s="413" t="s">
        <v>1018</v>
      </c>
      <c r="C312" s="414" t="s">
        <v>783</v>
      </c>
      <c r="D312" s="415">
        <v>84.47999999999999</v>
      </c>
    </row>
    <row r="313" spans="2:4" ht="15" customHeight="1" x14ac:dyDescent="0.25">
      <c r="B313" s="413"/>
      <c r="C313" s="414" t="s">
        <v>1718</v>
      </c>
      <c r="D313" s="415">
        <v>1.25</v>
      </c>
    </row>
    <row r="314" spans="2:4" ht="15.75" customHeight="1" x14ac:dyDescent="0.25">
      <c r="B314" s="413"/>
      <c r="C314" s="414" t="s">
        <v>1019</v>
      </c>
      <c r="D314" s="415">
        <v>8.7390000000000008</v>
      </c>
    </row>
    <row r="315" spans="2:4" ht="15.75" customHeight="1" x14ac:dyDescent="0.25">
      <c r="B315" s="413" t="s">
        <v>1020</v>
      </c>
      <c r="C315" s="414" t="s">
        <v>1021</v>
      </c>
      <c r="D315" s="415">
        <v>60.216000000000008</v>
      </c>
    </row>
    <row r="316" spans="2:4" ht="15.75" customHeight="1" x14ac:dyDescent="0.25">
      <c r="B316" s="413"/>
      <c r="C316" s="414" t="s">
        <v>1022</v>
      </c>
      <c r="D316" s="415">
        <v>48.478999999999992</v>
      </c>
    </row>
    <row r="317" spans="2:4" ht="15.75" customHeight="1" x14ac:dyDescent="0.25">
      <c r="B317" s="413" t="s">
        <v>1719</v>
      </c>
      <c r="C317" s="414" t="s">
        <v>1668</v>
      </c>
      <c r="D317" s="415">
        <v>7.2879999999999985</v>
      </c>
    </row>
    <row r="318" spans="2:4" ht="15" customHeight="1" x14ac:dyDescent="0.25">
      <c r="B318" s="413" t="s">
        <v>1024</v>
      </c>
      <c r="C318" s="414" t="s">
        <v>1025</v>
      </c>
      <c r="D318" s="415">
        <v>9.2120660377358501</v>
      </c>
    </row>
    <row r="319" spans="2:4" ht="15" customHeight="1" x14ac:dyDescent="0.25">
      <c r="B319" s="413" t="s">
        <v>1026</v>
      </c>
      <c r="C319" s="414" t="s">
        <v>1027</v>
      </c>
      <c r="D319" s="415">
        <v>14010.70387672952</v>
      </c>
    </row>
    <row r="320" spans="2:4" ht="15.75" customHeight="1" x14ac:dyDescent="0.25">
      <c r="B320" s="413"/>
      <c r="C320" s="414" t="s">
        <v>1191</v>
      </c>
      <c r="D320" s="415">
        <v>0.63600000000000001</v>
      </c>
    </row>
    <row r="321" spans="2:4" ht="15.75" customHeight="1" x14ac:dyDescent="0.25">
      <c r="B321" s="413" t="s">
        <v>1028</v>
      </c>
      <c r="C321" s="414" t="s">
        <v>1029</v>
      </c>
      <c r="D321" s="415">
        <v>16.996339622641507</v>
      </c>
    </row>
    <row r="322" spans="2:4" ht="15.75" customHeight="1" x14ac:dyDescent="0.25">
      <c r="B322" s="413"/>
      <c r="C322" s="414" t="s">
        <v>1720</v>
      </c>
      <c r="D322" s="415">
        <v>165.02300000000002</v>
      </c>
    </row>
    <row r="323" spans="2:4" ht="15.75" customHeight="1" x14ac:dyDescent="0.25">
      <c r="B323" s="413"/>
      <c r="C323" s="414" t="s">
        <v>1030</v>
      </c>
      <c r="D323" s="415">
        <v>20816.215549603799</v>
      </c>
    </row>
    <row r="324" spans="2:4" ht="15" customHeight="1" x14ac:dyDescent="0.25">
      <c r="B324" s="413"/>
      <c r="C324" s="414" t="s">
        <v>1031</v>
      </c>
      <c r="D324" s="415">
        <v>14224.185893584909</v>
      </c>
    </row>
    <row r="325" spans="2:4" ht="15" customHeight="1" x14ac:dyDescent="0.25">
      <c r="B325" s="413" t="s">
        <v>1033</v>
      </c>
      <c r="C325" s="414" t="s">
        <v>1031</v>
      </c>
      <c r="D325" s="415">
        <v>112.37829716981132</v>
      </c>
    </row>
    <row r="326" spans="2:4" ht="15.75" customHeight="1" x14ac:dyDescent="0.25">
      <c r="B326" s="413" t="s">
        <v>1034</v>
      </c>
      <c r="C326" s="414" t="s">
        <v>1031</v>
      </c>
      <c r="D326" s="415">
        <v>2.6829999999999998</v>
      </c>
    </row>
    <row r="327" spans="2:4" ht="15" customHeight="1" x14ac:dyDescent="0.25">
      <c r="B327" s="413"/>
      <c r="C327" s="414" t="s">
        <v>1036</v>
      </c>
      <c r="D327" s="415">
        <v>30.743000000000002</v>
      </c>
    </row>
    <row r="328" spans="2:4" ht="15.75" customHeight="1" x14ac:dyDescent="0.25">
      <c r="B328" s="413"/>
      <c r="C328" s="414" t="s">
        <v>1037</v>
      </c>
      <c r="D328" s="415">
        <v>772.89276835849068</v>
      </c>
    </row>
    <row r="329" spans="2:4" ht="15.75" customHeight="1" x14ac:dyDescent="0.25">
      <c r="B329" s="413"/>
      <c r="C329" s="414" t="s">
        <v>1721</v>
      </c>
      <c r="D329" s="415">
        <v>1.784</v>
      </c>
    </row>
    <row r="330" spans="2:4" ht="15.75" customHeight="1" x14ac:dyDescent="0.25">
      <c r="B330" s="413"/>
      <c r="C330" s="414" t="s">
        <v>861</v>
      </c>
      <c r="D330" s="415">
        <v>994.52248169811276</v>
      </c>
    </row>
    <row r="331" spans="2:4" ht="15" customHeight="1" x14ac:dyDescent="0.25">
      <c r="B331" s="413"/>
      <c r="C331" s="414" t="s">
        <v>1038</v>
      </c>
      <c r="D331" s="415">
        <v>1586.1389144654086</v>
      </c>
    </row>
    <row r="332" spans="2:4" ht="15" customHeight="1" x14ac:dyDescent="0.25">
      <c r="B332" s="413"/>
      <c r="C332" s="414" t="s">
        <v>1039</v>
      </c>
      <c r="D332" s="415">
        <v>67.718999999999994</v>
      </c>
    </row>
    <row r="333" spans="2:4" ht="15.75" customHeight="1" x14ac:dyDescent="0.25">
      <c r="B333" s="413"/>
      <c r="C333" s="414" t="s">
        <v>1040</v>
      </c>
      <c r="D333" s="415">
        <v>491.99252830188698</v>
      </c>
    </row>
    <row r="334" spans="2:4" ht="15.75" customHeight="1" x14ac:dyDescent="0.25">
      <c r="B334" s="413"/>
      <c r="C334" s="414" t="s">
        <v>1041</v>
      </c>
      <c r="D334" s="415">
        <v>2056.7145692641516</v>
      </c>
    </row>
    <row r="335" spans="2:4" ht="15.75" customHeight="1" x14ac:dyDescent="0.25">
      <c r="B335" s="413"/>
      <c r="C335" s="414" t="s">
        <v>1042</v>
      </c>
      <c r="D335" s="415">
        <v>6.641</v>
      </c>
    </row>
    <row r="336" spans="2:4" ht="15" customHeight="1" x14ac:dyDescent="0.25">
      <c r="B336" s="413"/>
      <c r="C336" s="414" t="s">
        <v>1043</v>
      </c>
      <c r="D336" s="415">
        <v>54.978999999999999</v>
      </c>
    </row>
    <row r="337" spans="2:4" ht="15.75" customHeight="1" x14ac:dyDescent="0.25">
      <c r="B337" s="413"/>
      <c r="C337" s="414" t="s">
        <v>1044</v>
      </c>
      <c r="D337" s="415">
        <v>2533.1245660377335</v>
      </c>
    </row>
    <row r="338" spans="2:4" ht="15" customHeight="1" x14ac:dyDescent="0.25">
      <c r="B338" s="413"/>
      <c r="C338" s="414" t="s">
        <v>1483</v>
      </c>
      <c r="D338" s="415">
        <v>83.445999999999998</v>
      </c>
    </row>
    <row r="339" spans="2:4" ht="15.75" customHeight="1" x14ac:dyDescent="0.25">
      <c r="B339" s="413"/>
      <c r="C339" s="414" t="s">
        <v>927</v>
      </c>
      <c r="D339" s="415">
        <v>7.157</v>
      </c>
    </row>
    <row r="340" spans="2:4" ht="15.75" customHeight="1" x14ac:dyDescent="0.25">
      <c r="B340" s="413"/>
      <c r="C340" s="414" t="s">
        <v>1045</v>
      </c>
      <c r="D340" s="415">
        <v>18.585283018867923</v>
      </c>
    </row>
    <row r="341" spans="2:4" ht="15" customHeight="1" x14ac:dyDescent="0.25">
      <c r="B341" s="413"/>
      <c r="C341" s="414" t="s">
        <v>928</v>
      </c>
      <c r="D341" s="415">
        <v>7.66</v>
      </c>
    </row>
    <row r="342" spans="2:4" ht="15.75" customHeight="1" x14ac:dyDescent="0.25">
      <c r="B342" s="413" t="s">
        <v>1046</v>
      </c>
      <c r="C342" s="414" t="s">
        <v>926</v>
      </c>
      <c r="D342" s="415">
        <v>4.4428301886792418</v>
      </c>
    </row>
    <row r="343" spans="2:4" ht="15.75" customHeight="1" x14ac:dyDescent="0.25">
      <c r="B343" s="413"/>
      <c r="C343" s="414" t="s">
        <v>1047</v>
      </c>
      <c r="D343" s="415">
        <v>2.5888915094339642</v>
      </c>
    </row>
    <row r="344" spans="2:4" ht="15.75" customHeight="1" x14ac:dyDescent="0.25">
      <c r="B344" s="413" t="s">
        <v>1722</v>
      </c>
      <c r="C344" s="414" t="s">
        <v>928</v>
      </c>
      <c r="D344" s="415">
        <v>13.225999999999999</v>
      </c>
    </row>
    <row r="345" spans="2:4" ht="15" customHeight="1" x14ac:dyDescent="0.25">
      <c r="B345" s="413" t="s">
        <v>1048</v>
      </c>
      <c r="C345" s="414" t="s">
        <v>1049</v>
      </c>
      <c r="D345" s="415">
        <v>49.594924528301888</v>
      </c>
    </row>
    <row r="346" spans="2:4" ht="15" customHeight="1" x14ac:dyDescent="0.25">
      <c r="B346" s="413" t="s">
        <v>1050</v>
      </c>
      <c r="C346" s="414" t="s">
        <v>1052</v>
      </c>
      <c r="D346" s="415">
        <v>0.108</v>
      </c>
    </row>
    <row r="347" spans="2:4" ht="15" customHeight="1" x14ac:dyDescent="0.25">
      <c r="B347" s="413" t="s">
        <v>1053</v>
      </c>
      <c r="C347" s="414" t="s">
        <v>1054</v>
      </c>
      <c r="D347" s="415">
        <v>269.77399999999994</v>
      </c>
    </row>
    <row r="348" spans="2:4" ht="15" customHeight="1" x14ac:dyDescent="0.25">
      <c r="B348" s="413"/>
      <c r="C348" s="414" t="s">
        <v>1055</v>
      </c>
      <c r="D348" s="415">
        <v>690.89900000000011</v>
      </c>
    </row>
    <row r="349" spans="2:4" ht="15" customHeight="1" x14ac:dyDescent="0.25">
      <c r="B349" s="413"/>
      <c r="C349" s="414" t="s">
        <v>1056</v>
      </c>
      <c r="D349" s="415">
        <v>814.96499999999969</v>
      </c>
    </row>
    <row r="350" spans="2:4" ht="15.75" customHeight="1" x14ac:dyDescent="0.25">
      <c r="B350" s="413"/>
      <c r="C350" s="414" t="s">
        <v>1057</v>
      </c>
      <c r="D350" s="415">
        <v>229.34120283018868</v>
      </c>
    </row>
    <row r="351" spans="2:4" ht="15" customHeight="1" x14ac:dyDescent="0.25">
      <c r="B351" s="413" t="s">
        <v>1723</v>
      </c>
      <c r="C351" s="414" t="s">
        <v>993</v>
      </c>
      <c r="D351" s="415">
        <v>13.120004716981136</v>
      </c>
    </row>
    <row r="352" spans="2:4" ht="15.75" customHeight="1" x14ac:dyDescent="0.25">
      <c r="B352" s="413" t="s">
        <v>1724</v>
      </c>
      <c r="C352" s="414" t="s">
        <v>1725</v>
      </c>
      <c r="D352" s="415">
        <v>4.0090000000000003</v>
      </c>
    </row>
    <row r="353" spans="2:4" ht="15.75" customHeight="1" x14ac:dyDescent="0.25">
      <c r="B353" s="413" t="s">
        <v>1058</v>
      </c>
      <c r="C353" s="414" t="s">
        <v>1059</v>
      </c>
      <c r="D353" s="415">
        <v>20.582000000000001</v>
      </c>
    </row>
    <row r="354" spans="2:4" ht="15" customHeight="1" x14ac:dyDescent="0.25">
      <c r="B354" s="413"/>
      <c r="C354" s="414" t="s">
        <v>1060</v>
      </c>
      <c r="D354" s="415">
        <v>187.85298584905658</v>
      </c>
    </row>
    <row r="355" spans="2:4" ht="15" customHeight="1" x14ac:dyDescent="0.25">
      <c r="B355" s="413"/>
      <c r="C355" s="414" t="s">
        <v>1077</v>
      </c>
      <c r="D355" s="415">
        <v>61.744000000000007</v>
      </c>
    </row>
    <row r="356" spans="2:4" ht="15.75" customHeight="1" x14ac:dyDescent="0.25">
      <c r="B356" s="413"/>
      <c r="C356" s="414" t="s">
        <v>1061</v>
      </c>
      <c r="D356" s="415">
        <v>132.29000000000002</v>
      </c>
    </row>
    <row r="357" spans="2:4" ht="15" customHeight="1" x14ac:dyDescent="0.25">
      <c r="B357" s="413"/>
      <c r="C357" s="414" t="s">
        <v>1079</v>
      </c>
      <c r="D357" s="415">
        <v>27.335999999999999</v>
      </c>
    </row>
    <row r="358" spans="2:4" ht="15.75" customHeight="1" x14ac:dyDescent="0.25">
      <c r="B358" s="413"/>
      <c r="C358" s="414" t="s">
        <v>1062</v>
      </c>
      <c r="D358" s="415">
        <v>21.318999999999999</v>
      </c>
    </row>
    <row r="359" spans="2:4" ht="15" customHeight="1" x14ac:dyDescent="0.25">
      <c r="B359" s="413"/>
      <c r="C359" s="414" t="s">
        <v>1063</v>
      </c>
      <c r="D359" s="415">
        <v>32.903327999999995</v>
      </c>
    </row>
    <row r="360" spans="2:4" ht="15" customHeight="1" x14ac:dyDescent="0.25">
      <c r="B360" s="413"/>
      <c r="C360" s="414" t="s">
        <v>1070</v>
      </c>
      <c r="D360" s="415">
        <v>20.965999999999998</v>
      </c>
    </row>
    <row r="361" spans="2:4" ht="15.75" customHeight="1" x14ac:dyDescent="0.25">
      <c r="B361" s="413"/>
      <c r="C361" s="414" t="s">
        <v>1726</v>
      </c>
      <c r="D361" s="415">
        <v>5.3440000000000003</v>
      </c>
    </row>
    <row r="362" spans="2:4" ht="15.75" customHeight="1" x14ac:dyDescent="0.25">
      <c r="B362" s="413"/>
      <c r="C362" s="414" t="s">
        <v>1727</v>
      </c>
      <c r="D362" s="415">
        <v>1.038</v>
      </c>
    </row>
    <row r="363" spans="2:4" ht="15" customHeight="1" x14ac:dyDescent="0.25">
      <c r="B363" s="413"/>
      <c r="C363" s="414" t="s">
        <v>787</v>
      </c>
      <c r="D363" s="415">
        <v>525.43705188679246</v>
      </c>
    </row>
    <row r="364" spans="2:4" ht="15" customHeight="1" x14ac:dyDescent="0.25">
      <c r="B364" s="413"/>
      <c r="C364" s="414" t="s">
        <v>788</v>
      </c>
      <c r="D364" s="415">
        <v>6182.8712641509401</v>
      </c>
    </row>
    <row r="365" spans="2:4" ht="15.75" customHeight="1" x14ac:dyDescent="0.25">
      <c r="B365" s="413"/>
      <c r="C365" s="414" t="s">
        <v>790</v>
      </c>
      <c r="D365" s="415">
        <v>1686.6736981132078</v>
      </c>
    </row>
    <row r="366" spans="2:4" ht="15.75" customHeight="1" x14ac:dyDescent="0.25">
      <c r="B366" s="413"/>
      <c r="C366" s="414" t="s">
        <v>844</v>
      </c>
      <c r="D366" s="415">
        <v>373.67303773584922</v>
      </c>
    </row>
    <row r="367" spans="2:4" ht="15.75" customHeight="1" x14ac:dyDescent="0.25">
      <c r="B367" s="413"/>
      <c r="C367" s="414" t="s">
        <v>1064</v>
      </c>
      <c r="D367" s="415">
        <v>67.227999999999994</v>
      </c>
    </row>
    <row r="368" spans="2:4" ht="15.75" customHeight="1" x14ac:dyDescent="0.25">
      <c r="B368" s="413"/>
      <c r="C368" s="414" t="s">
        <v>845</v>
      </c>
      <c r="D368" s="415">
        <v>11.1</v>
      </c>
    </row>
    <row r="369" spans="2:4" ht="15" customHeight="1" x14ac:dyDescent="0.25">
      <c r="B369" s="413"/>
      <c r="C369" s="414" t="s">
        <v>944</v>
      </c>
      <c r="D369" s="415">
        <v>372.79856132075463</v>
      </c>
    </row>
    <row r="370" spans="2:4" ht="15" customHeight="1" x14ac:dyDescent="0.25">
      <c r="B370" s="413"/>
      <c r="C370" s="414" t="s">
        <v>846</v>
      </c>
      <c r="D370" s="415">
        <v>51.787999999999997</v>
      </c>
    </row>
    <row r="371" spans="2:4" ht="15.75" customHeight="1" x14ac:dyDescent="0.25">
      <c r="B371" s="413"/>
      <c r="C371" s="414" t="s">
        <v>1071</v>
      </c>
      <c r="D371" s="415">
        <v>56.339000000000006</v>
      </c>
    </row>
    <row r="372" spans="2:4" ht="15" customHeight="1" x14ac:dyDescent="0.25">
      <c r="B372" s="413"/>
      <c r="C372" s="414" t="s">
        <v>847</v>
      </c>
      <c r="D372" s="415">
        <v>7.2880000000000003</v>
      </c>
    </row>
    <row r="373" spans="2:4" ht="15" customHeight="1" x14ac:dyDescent="0.25">
      <c r="B373" s="413"/>
      <c r="C373" s="414" t="s">
        <v>1728</v>
      </c>
      <c r="D373" s="415">
        <v>2.698</v>
      </c>
    </row>
    <row r="374" spans="2:4" ht="15.75" customHeight="1" x14ac:dyDescent="0.25">
      <c r="B374" s="413"/>
      <c r="C374" s="414" t="s">
        <v>848</v>
      </c>
      <c r="D374" s="415">
        <v>313.85099999999994</v>
      </c>
    </row>
    <row r="375" spans="2:4" ht="15" customHeight="1" x14ac:dyDescent="0.25">
      <c r="B375" s="413"/>
      <c r="C375" s="414" t="s">
        <v>1065</v>
      </c>
      <c r="D375" s="415">
        <v>1962.1539667358491</v>
      </c>
    </row>
    <row r="376" spans="2:4" ht="15" customHeight="1" x14ac:dyDescent="0.25">
      <c r="B376" s="413"/>
      <c r="C376" s="414" t="s">
        <v>849</v>
      </c>
      <c r="D376" s="415">
        <v>3188.5592264150887</v>
      </c>
    </row>
    <row r="377" spans="2:4" ht="15.75" customHeight="1" x14ac:dyDescent="0.25">
      <c r="B377" s="413" t="s">
        <v>1066</v>
      </c>
      <c r="C377" s="414" t="s">
        <v>1067</v>
      </c>
      <c r="D377" s="415">
        <v>66.003999999999991</v>
      </c>
    </row>
    <row r="378" spans="2:4" ht="15.75" customHeight="1" x14ac:dyDescent="0.25">
      <c r="B378" s="413" t="s">
        <v>1069</v>
      </c>
      <c r="C378" s="414" t="s">
        <v>1070</v>
      </c>
      <c r="D378" s="415">
        <v>1.087</v>
      </c>
    </row>
    <row r="379" spans="2:4" ht="15.75" customHeight="1" x14ac:dyDescent="0.25">
      <c r="B379" s="413"/>
      <c r="C379" s="414" t="s">
        <v>1067</v>
      </c>
      <c r="D379" s="415">
        <v>51.327400943396235</v>
      </c>
    </row>
    <row r="380" spans="2:4" ht="15" customHeight="1" x14ac:dyDescent="0.25">
      <c r="B380" s="413"/>
      <c r="C380" s="414" t="s">
        <v>790</v>
      </c>
      <c r="D380" s="415">
        <v>8.266</v>
      </c>
    </row>
    <row r="381" spans="2:4" ht="15.75" customHeight="1" x14ac:dyDescent="0.25">
      <c r="B381" s="413"/>
      <c r="C381" s="414" t="s">
        <v>844</v>
      </c>
      <c r="D381" s="415">
        <v>83.836536163521998</v>
      </c>
    </row>
    <row r="382" spans="2:4" ht="15.75" customHeight="1" x14ac:dyDescent="0.25">
      <c r="B382" s="413"/>
      <c r="C382" s="414" t="s">
        <v>1064</v>
      </c>
      <c r="D382" s="415">
        <v>8.7260000000000009</v>
      </c>
    </row>
    <row r="383" spans="2:4" ht="15.75" customHeight="1" x14ac:dyDescent="0.25">
      <c r="B383" s="413"/>
      <c r="C383" s="414" t="s">
        <v>944</v>
      </c>
      <c r="D383" s="415">
        <v>709.75661792452854</v>
      </c>
    </row>
    <row r="384" spans="2:4" ht="15" customHeight="1" x14ac:dyDescent="0.25">
      <c r="B384" s="413"/>
      <c r="C384" s="414" t="s">
        <v>846</v>
      </c>
      <c r="D384" s="415">
        <v>49.904999999999994</v>
      </c>
    </row>
    <row r="385" spans="2:4" ht="15" customHeight="1" x14ac:dyDescent="0.25">
      <c r="B385" s="413"/>
      <c r="C385" s="414" t="s">
        <v>1071</v>
      </c>
      <c r="D385" s="415">
        <v>30.637754716981121</v>
      </c>
    </row>
    <row r="386" spans="2:4" ht="15.75" customHeight="1" x14ac:dyDescent="0.25">
      <c r="B386" s="413"/>
      <c r="C386" s="414" t="s">
        <v>847</v>
      </c>
      <c r="D386" s="415">
        <v>14.151</v>
      </c>
    </row>
    <row r="387" spans="2:4" ht="15.75" customHeight="1" x14ac:dyDescent="0.25">
      <c r="B387" s="413"/>
      <c r="C387" s="414" t="s">
        <v>850</v>
      </c>
      <c r="D387" s="415">
        <v>48.354460691823896</v>
      </c>
    </row>
    <row r="388" spans="2:4" ht="15" customHeight="1" x14ac:dyDescent="0.25">
      <c r="B388" s="413" t="s">
        <v>1072</v>
      </c>
      <c r="C388" s="414" t="s">
        <v>850</v>
      </c>
      <c r="D388" s="415">
        <v>18.225754716981125</v>
      </c>
    </row>
    <row r="389" spans="2:4" ht="15" customHeight="1" x14ac:dyDescent="0.25">
      <c r="B389" s="413" t="s">
        <v>1073</v>
      </c>
      <c r="C389" s="414" t="s">
        <v>850</v>
      </c>
      <c r="D389" s="415">
        <v>5.4081603773584881</v>
      </c>
    </row>
    <row r="390" spans="2:4" ht="15.75" customHeight="1" x14ac:dyDescent="0.25">
      <c r="B390" s="413" t="s">
        <v>1729</v>
      </c>
      <c r="C390" s="414" t="s">
        <v>787</v>
      </c>
      <c r="D390" s="415">
        <v>15.826000000000001</v>
      </c>
    </row>
    <row r="391" spans="2:4" ht="15" customHeight="1" x14ac:dyDescent="0.25">
      <c r="B391" s="413" t="s">
        <v>1074</v>
      </c>
      <c r="C391" s="414" t="s">
        <v>790</v>
      </c>
      <c r="D391" s="415">
        <v>252.89248113207546</v>
      </c>
    </row>
    <row r="392" spans="2:4" ht="15" customHeight="1" x14ac:dyDescent="0.25">
      <c r="B392" s="413"/>
      <c r="C392" s="414" t="s">
        <v>848</v>
      </c>
      <c r="D392" s="415">
        <v>474.83972169811318</v>
      </c>
    </row>
    <row r="393" spans="2:4" ht="15.75" customHeight="1" x14ac:dyDescent="0.25">
      <c r="B393" s="413"/>
      <c r="C393" s="414" t="s">
        <v>850</v>
      </c>
      <c r="D393" s="415">
        <v>166.96300000000002</v>
      </c>
    </row>
    <row r="394" spans="2:4" ht="15.75" customHeight="1" x14ac:dyDescent="0.25">
      <c r="B394" s="413" t="s">
        <v>1076</v>
      </c>
      <c r="C394" s="414" t="s">
        <v>1077</v>
      </c>
      <c r="D394" s="415">
        <v>55.807924528301882</v>
      </c>
    </row>
    <row r="395" spans="2:4" ht="15" customHeight="1" x14ac:dyDescent="0.25">
      <c r="B395" s="413"/>
      <c r="C395" s="414" t="s">
        <v>1078</v>
      </c>
      <c r="D395" s="415">
        <v>136.00300000000001</v>
      </c>
    </row>
    <row r="396" spans="2:4" ht="15.75" customHeight="1" x14ac:dyDescent="0.25">
      <c r="B396" s="413"/>
      <c r="C396" s="414" t="s">
        <v>1061</v>
      </c>
      <c r="D396" s="415">
        <v>36.663226415094343</v>
      </c>
    </row>
    <row r="397" spans="2:4" ht="15.75" customHeight="1" x14ac:dyDescent="0.25">
      <c r="B397" s="413"/>
      <c r="C397" s="414" t="s">
        <v>1079</v>
      </c>
      <c r="D397" s="415">
        <v>497.3122028301886</v>
      </c>
    </row>
    <row r="398" spans="2:4" ht="15" customHeight="1" x14ac:dyDescent="0.25">
      <c r="B398" s="413"/>
      <c r="C398" s="414" t="s">
        <v>1070</v>
      </c>
      <c r="D398" s="415">
        <v>5.3559999999999999</v>
      </c>
    </row>
    <row r="399" spans="2:4" ht="15" customHeight="1" x14ac:dyDescent="0.25">
      <c r="B399" s="413"/>
      <c r="C399" s="414" t="s">
        <v>788</v>
      </c>
      <c r="D399" s="415">
        <v>580.76716484905671</v>
      </c>
    </row>
    <row r="400" spans="2:4" ht="15" customHeight="1" x14ac:dyDescent="0.25">
      <c r="B400" s="413"/>
      <c r="C400" s="414" t="s">
        <v>844</v>
      </c>
      <c r="D400" s="415">
        <v>6.8975330188679216</v>
      </c>
    </row>
    <row r="401" spans="2:4" ht="15" customHeight="1" x14ac:dyDescent="0.25">
      <c r="B401" s="413"/>
      <c r="C401" s="414" t="s">
        <v>1064</v>
      </c>
      <c r="D401" s="415">
        <v>127.56800000000001</v>
      </c>
    </row>
    <row r="402" spans="2:4" ht="15.75" customHeight="1" x14ac:dyDescent="0.25">
      <c r="B402" s="413"/>
      <c r="C402" s="414" t="s">
        <v>848</v>
      </c>
      <c r="D402" s="415">
        <v>45.349000000000004</v>
      </c>
    </row>
    <row r="403" spans="2:4" ht="15.75" customHeight="1" x14ac:dyDescent="0.25">
      <c r="B403" s="413" t="s">
        <v>1080</v>
      </c>
      <c r="C403" s="414" t="s">
        <v>1067</v>
      </c>
      <c r="D403" s="415">
        <v>516.43134433962268</v>
      </c>
    </row>
    <row r="404" spans="2:4" ht="15" customHeight="1" x14ac:dyDescent="0.25">
      <c r="B404" s="413" t="s">
        <v>1081</v>
      </c>
      <c r="C404" s="414" t="s">
        <v>847</v>
      </c>
      <c r="D404" s="415">
        <v>0.14899999999999999</v>
      </c>
    </row>
    <row r="405" spans="2:4" ht="15" customHeight="1" x14ac:dyDescent="0.25">
      <c r="B405" s="413" t="s">
        <v>1083</v>
      </c>
      <c r="C405" s="414" t="s">
        <v>1061</v>
      </c>
      <c r="D405" s="415">
        <v>2859.8440805985429</v>
      </c>
    </row>
    <row r="406" spans="2:4" ht="15" customHeight="1" x14ac:dyDescent="0.25">
      <c r="B406" s="413"/>
      <c r="C406" s="414" t="s">
        <v>1079</v>
      </c>
      <c r="D406" s="415">
        <v>82.43580324528304</v>
      </c>
    </row>
    <row r="407" spans="2:4" ht="15" customHeight="1" x14ac:dyDescent="0.25">
      <c r="B407" s="413"/>
      <c r="C407" s="414" t="s">
        <v>788</v>
      </c>
      <c r="D407" s="415">
        <v>28.320811320754721</v>
      </c>
    </row>
    <row r="408" spans="2:4" ht="15" customHeight="1" x14ac:dyDescent="0.25">
      <c r="B408" s="413" t="s">
        <v>1084</v>
      </c>
      <c r="C408" s="414" t="s">
        <v>849</v>
      </c>
      <c r="D408" s="415">
        <v>34.198</v>
      </c>
    </row>
    <row r="409" spans="2:4" ht="15" customHeight="1" x14ac:dyDescent="0.25">
      <c r="B409" s="413" t="s">
        <v>1730</v>
      </c>
      <c r="C409" s="414" t="s">
        <v>1451</v>
      </c>
      <c r="D409" s="415">
        <v>10.518000000000001</v>
      </c>
    </row>
    <row r="410" spans="2:4" ht="15" customHeight="1" x14ac:dyDescent="0.25">
      <c r="B410" s="413" t="s">
        <v>1087</v>
      </c>
      <c r="C410" s="414" t="s">
        <v>1731</v>
      </c>
      <c r="D410" s="415">
        <v>30.898000000000003</v>
      </c>
    </row>
    <row r="411" spans="2:4" ht="15" customHeight="1" x14ac:dyDescent="0.25">
      <c r="B411" s="413" t="s">
        <v>1732</v>
      </c>
      <c r="C411" s="414" t="s">
        <v>1104</v>
      </c>
      <c r="D411" s="415">
        <v>1.6759999999999999</v>
      </c>
    </row>
    <row r="412" spans="2:4" ht="15" customHeight="1" x14ac:dyDescent="0.25">
      <c r="B412" s="413" t="s">
        <v>1733</v>
      </c>
      <c r="C412" s="414" t="s">
        <v>1668</v>
      </c>
      <c r="D412" s="415">
        <v>4.2309999999999999</v>
      </c>
    </row>
    <row r="413" spans="2:4" ht="15" customHeight="1" x14ac:dyDescent="0.25">
      <c r="B413" s="413"/>
      <c r="C413" s="414" t="s">
        <v>924</v>
      </c>
      <c r="D413" s="415">
        <v>0.47399999999999998</v>
      </c>
    </row>
    <row r="414" spans="2:4" ht="15" customHeight="1" x14ac:dyDescent="0.25">
      <c r="B414" s="413"/>
      <c r="C414" s="414" t="s">
        <v>1734</v>
      </c>
      <c r="D414" s="415">
        <v>5.29</v>
      </c>
    </row>
    <row r="415" spans="2:4" ht="15" customHeight="1" x14ac:dyDescent="0.25">
      <c r="B415" s="413" t="s">
        <v>1089</v>
      </c>
      <c r="C415" s="414" t="s">
        <v>1090</v>
      </c>
      <c r="D415" s="415">
        <v>11282.310814740551</v>
      </c>
    </row>
    <row r="416" spans="2:4" ht="15" customHeight="1" x14ac:dyDescent="0.25">
      <c r="B416" s="413" t="s">
        <v>1092</v>
      </c>
      <c r="C416" s="414" t="s">
        <v>1093</v>
      </c>
      <c r="D416" s="415">
        <v>200.00159999999997</v>
      </c>
    </row>
    <row r="417" spans="2:4" ht="15" customHeight="1" x14ac:dyDescent="0.25">
      <c r="B417" s="413"/>
      <c r="C417" s="414" t="s">
        <v>1094</v>
      </c>
      <c r="D417" s="415">
        <v>744.66511886792466</v>
      </c>
    </row>
    <row r="418" spans="2:4" ht="15" customHeight="1" x14ac:dyDescent="0.25">
      <c r="B418" s="413"/>
      <c r="C418" s="414" t="s">
        <v>1095</v>
      </c>
      <c r="D418" s="415">
        <v>2452.046562902884</v>
      </c>
    </row>
    <row r="419" spans="2:4" ht="15" customHeight="1" x14ac:dyDescent="0.25">
      <c r="B419" s="413"/>
      <c r="C419" s="414" t="s">
        <v>1096</v>
      </c>
      <c r="D419" s="415">
        <v>33.258000000000003</v>
      </c>
    </row>
    <row r="420" spans="2:4" ht="15" customHeight="1" x14ac:dyDescent="0.25">
      <c r="B420" s="413"/>
      <c r="C420" s="414" t="s">
        <v>1097</v>
      </c>
      <c r="D420" s="415">
        <v>61.052915094339632</v>
      </c>
    </row>
    <row r="421" spans="2:4" ht="15.75" customHeight="1" x14ac:dyDescent="0.25">
      <c r="B421" s="413" t="s">
        <v>1735</v>
      </c>
      <c r="C421" s="414" t="s">
        <v>1437</v>
      </c>
      <c r="D421" s="415">
        <v>12.151999999999999</v>
      </c>
    </row>
    <row r="422" spans="2:4" ht="15.75" customHeight="1" x14ac:dyDescent="0.25">
      <c r="B422" s="413" t="s">
        <v>1736</v>
      </c>
      <c r="C422" s="414" t="s">
        <v>1727</v>
      </c>
      <c r="D422" s="415">
        <v>3.488</v>
      </c>
    </row>
    <row r="423" spans="2:4" ht="15" customHeight="1" x14ac:dyDescent="0.25">
      <c r="B423" s="413" t="s">
        <v>1102</v>
      </c>
      <c r="C423" s="414" t="s">
        <v>1067</v>
      </c>
      <c r="D423" s="415">
        <v>3632.3997594339648</v>
      </c>
    </row>
    <row r="424" spans="2:4" ht="15.75" customHeight="1" x14ac:dyDescent="0.25">
      <c r="B424" s="413"/>
      <c r="C424" s="414" t="s">
        <v>787</v>
      </c>
      <c r="D424" s="415">
        <v>835.43299999999977</v>
      </c>
    </row>
    <row r="425" spans="2:4" ht="15" customHeight="1" x14ac:dyDescent="0.25">
      <c r="B425" s="413"/>
      <c r="C425" s="414" t="s">
        <v>788</v>
      </c>
      <c r="D425" s="415">
        <v>58.847999999999999</v>
      </c>
    </row>
    <row r="426" spans="2:4" ht="15" customHeight="1" x14ac:dyDescent="0.25">
      <c r="B426" s="413" t="s">
        <v>1103</v>
      </c>
      <c r="C426" s="414" t="s">
        <v>1104</v>
      </c>
      <c r="D426" s="415">
        <v>18.23457075471698</v>
      </c>
    </row>
    <row r="427" spans="2:4" ht="15" customHeight="1" x14ac:dyDescent="0.25">
      <c r="B427" s="413" t="s">
        <v>1737</v>
      </c>
      <c r="C427" s="414" t="s">
        <v>1582</v>
      </c>
      <c r="D427" s="415">
        <v>32.881999999999998</v>
      </c>
    </row>
    <row r="428" spans="2:4" ht="15" customHeight="1" x14ac:dyDescent="0.25">
      <c r="B428" s="413" t="s">
        <v>1105</v>
      </c>
      <c r="C428" s="414" t="s">
        <v>1106</v>
      </c>
      <c r="D428" s="415">
        <v>0.318</v>
      </c>
    </row>
    <row r="429" spans="2:4" ht="15" customHeight="1" x14ac:dyDescent="0.25">
      <c r="B429" s="413"/>
      <c r="C429" s="414" t="s">
        <v>1109</v>
      </c>
      <c r="D429" s="415">
        <v>2.415</v>
      </c>
    </row>
    <row r="430" spans="2:4" ht="15" customHeight="1" x14ac:dyDescent="0.25">
      <c r="B430" s="413"/>
      <c r="C430" s="414" t="s">
        <v>1193</v>
      </c>
      <c r="D430" s="415">
        <v>1.167</v>
      </c>
    </row>
    <row r="431" spans="2:4" ht="15" customHeight="1" x14ac:dyDescent="0.25">
      <c r="B431" s="413" t="s">
        <v>1107</v>
      </c>
      <c r="C431" s="414" t="s">
        <v>1108</v>
      </c>
      <c r="D431" s="415">
        <v>2.76</v>
      </c>
    </row>
    <row r="432" spans="2:4" ht="15.75" customHeight="1" x14ac:dyDescent="0.25">
      <c r="B432" s="413" t="s">
        <v>1738</v>
      </c>
      <c r="C432" s="414" t="s">
        <v>1106</v>
      </c>
      <c r="D432" s="415">
        <v>2.8329999999999997</v>
      </c>
    </row>
    <row r="433" spans="2:4" ht="15" customHeight="1" x14ac:dyDescent="0.25">
      <c r="B433" s="413" t="s">
        <v>1110</v>
      </c>
      <c r="C433" s="414" t="s">
        <v>1109</v>
      </c>
      <c r="D433" s="415">
        <v>1.288</v>
      </c>
    </row>
    <row r="434" spans="2:4" ht="15.75" customHeight="1" x14ac:dyDescent="0.25">
      <c r="B434" s="413" t="s">
        <v>1111</v>
      </c>
      <c r="C434" s="414" t="s">
        <v>1167</v>
      </c>
      <c r="D434" s="415">
        <v>5.9569999999999999</v>
      </c>
    </row>
    <row r="435" spans="2:4" ht="15" customHeight="1" x14ac:dyDescent="0.25">
      <c r="B435" s="413" t="s">
        <v>1739</v>
      </c>
      <c r="C435" s="414" t="s">
        <v>1740</v>
      </c>
      <c r="D435" s="415">
        <v>5.89</v>
      </c>
    </row>
    <row r="436" spans="2:4" ht="15" customHeight="1" x14ac:dyDescent="0.25">
      <c r="B436" s="413"/>
      <c r="C436" s="414" t="s">
        <v>1741</v>
      </c>
      <c r="D436" s="415">
        <v>34.9</v>
      </c>
    </row>
    <row r="437" spans="2:4" ht="15" customHeight="1" x14ac:dyDescent="0.25">
      <c r="B437" s="413"/>
      <c r="C437" s="414" t="s">
        <v>1167</v>
      </c>
      <c r="D437" s="415">
        <v>34.900000000000006</v>
      </c>
    </row>
    <row r="438" spans="2:4" ht="15" customHeight="1" x14ac:dyDescent="0.25">
      <c r="B438" s="413"/>
      <c r="C438" s="414" t="s">
        <v>1340</v>
      </c>
      <c r="D438" s="415">
        <v>87.56</v>
      </c>
    </row>
    <row r="439" spans="2:4" ht="15" customHeight="1" x14ac:dyDescent="0.25">
      <c r="B439" s="413"/>
      <c r="C439" s="414" t="s">
        <v>1718</v>
      </c>
      <c r="D439" s="415">
        <v>21.139999999999997</v>
      </c>
    </row>
    <row r="440" spans="2:4" ht="15.75" customHeight="1" x14ac:dyDescent="0.25">
      <c r="B440" s="413"/>
      <c r="C440" s="414" t="s">
        <v>1742</v>
      </c>
      <c r="D440" s="415">
        <v>42.540000000000006</v>
      </c>
    </row>
    <row r="441" spans="2:4" ht="15.75" customHeight="1" x14ac:dyDescent="0.25">
      <c r="B441" s="413" t="s">
        <v>1113</v>
      </c>
      <c r="C441" s="414" t="s">
        <v>1114</v>
      </c>
      <c r="D441" s="415">
        <v>73.878</v>
      </c>
    </row>
    <row r="442" spans="2:4" ht="15" customHeight="1" x14ac:dyDescent="0.25">
      <c r="B442" s="413"/>
      <c r="C442" s="414" t="s">
        <v>1117</v>
      </c>
      <c r="D442" s="415">
        <v>4.851</v>
      </c>
    </row>
    <row r="443" spans="2:4" ht="15" customHeight="1" x14ac:dyDescent="0.25">
      <c r="B443" s="413"/>
      <c r="C443" s="414" t="s">
        <v>1115</v>
      </c>
      <c r="D443" s="415">
        <v>1028.7734905660377</v>
      </c>
    </row>
    <row r="444" spans="2:4" ht="15" customHeight="1" x14ac:dyDescent="0.25">
      <c r="B444" s="413"/>
      <c r="C444" s="414" t="s">
        <v>1743</v>
      </c>
      <c r="D444" s="415">
        <v>3.9980000000000002</v>
      </c>
    </row>
    <row r="445" spans="2:4" ht="15" customHeight="1" x14ac:dyDescent="0.25">
      <c r="B445" s="413" t="s">
        <v>1116</v>
      </c>
      <c r="C445" s="414" t="s">
        <v>1114</v>
      </c>
      <c r="D445" s="415">
        <v>98.885999999999996</v>
      </c>
    </row>
    <row r="446" spans="2:4" ht="15" customHeight="1" x14ac:dyDescent="0.25">
      <c r="B446" s="413"/>
      <c r="C446" s="414" t="s">
        <v>1744</v>
      </c>
      <c r="D446" s="415">
        <v>5.4329999999999998</v>
      </c>
    </row>
    <row r="447" spans="2:4" ht="15" customHeight="1" x14ac:dyDescent="0.25">
      <c r="B447" s="413"/>
      <c r="C447" s="414" t="s">
        <v>1117</v>
      </c>
      <c r="D447" s="415">
        <v>66.767396226415087</v>
      </c>
    </row>
    <row r="448" spans="2:4" ht="15" customHeight="1" x14ac:dyDescent="0.25">
      <c r="B448" s="413"/>
      <c r="C448" s="414" t="s">
        <v>1115</v>
      </c>
      <c r="D448" s="415">
        <v>972.19907547169805</v>
      </c>
    </row>
    <row r="449" spans="2:4" ht="15" customHeight="1" x14ac:dyDescent="0.25">
      <c r="B449" s="413" t="s">
        <v>1118</v>
      </c>
      <c r="C449" s="414" t="s">
        <v>1119</v>
      </c>
      <c r="D449" s="415">
        <v>4.617</v>
      </c>
    </row>
    <row r="450" spans="2:4" ht="15" customHeight="1" x14ac:dyDescent="0.25">
      <c r="B450" s="413" t="s">
        <v>1120</v>
      </c>
      <c r="C450" s="414" t="s">
        <v>1121</v>
      </c>
      <c r="D450" s="415">
        <v>38.678000000000004</v>
      </c>
    </row>
    <row r="451" spans="2:4" ht="15.75" customHeight="1" x14ac:dyDescent="0.25">
      <c r="B451" s="413"/>
      <c r="C451" s="414" t="s">
        <v>1122</v>
      </c>
      <c r="D451" s="415">
        <v>187.89242452830186</v>
      </c>
    </row>
    <row r="452" spans="2:4" ht="15.75" customHeight="1" x14ac:dyDescent="0.25">
      <c r="B452" s="413"/>
      <c r="C452" s="414" t="s">
        <v>931</v>
      </c>
      <c r="D452" s="415">
        <v>3669.8242169811328</v>
      </c>
    </row>
    <row r="453" spans="2:4" ht="15" customHeight="1" x14ac:dyDescent="0.25">
      <c r="B453" s="413" t="s">
        <v>1123</v>
      </c>
      <c r="C453" s="414" t="s">
        <v>1745</v>
      </c>
      <c r="D453" s="415">
        <v>12.222</v>
      </c>
    </row>
    <row r="454" spans="2:4" ht="15.75" customHeight="1" x14ac:dyDescent="0.25">
      <c r="B454" s="413"/>
      <c r="C454" s="414" t="s">
        <v>1258</v>
      </c>
      <c r="D454" s="415">
        <v>1.653</v>
      </c>
    </row>
    <row r="455" spans="2:4" ht="15.75" customHeight="1" x14ac:dyDescent="0.25">
      <c r="B455" s="413"/>
      <c r="C455" s="414" t="s">
        <v>1124</v>
      </c>
      <c r="D455" s="415">
        <v>31.440726415094343</v>
      </c>
    </row>
    <row r="456" spans="2:4" ht="15.75" customHeight="1" x14ac:dyDescent="0.25">
      <c r="B456" s="413"/>
      <c r="C456" s="414" t="s">
        <v>1108</v>
      </c>
      <c r="D456" s="415">
        <v>7.1446462264150927</v>
      </c>
    </row>
    <row r="457" spans="2:4" ht="15" customHeight="1" x14ac:dyDescent="0.25">
      <c r="B457" s="413"/>
      <c r="C457" s="414" t="s">
        <v>1109</v>
      </c>
      <c r="D457" s="415">
        <v>469.20297169811312</v>
      </c>
    </row>
    <row r="458" spans="2:4" ht="15" customHeight="1" x14ac:dyDescent="0.25">
      <c r="B458" s="413"/>
      <c r="C458" s="414" t="s">
        <v>893</v>
      </c>
      <c r="D458" s="415">
        <v>2.6059999999999999</v>
      </c>
    </row>
    <row r="459" spans="2:4" ht="15" customHeight="1" x14ac:dyDescent="0.25">
      <c r="B459" s="413" t="s">
        <v>1746</v>
      </c>
      <c r="C459" s="414" t="s">
        <v>1251</v>
      </c>
      <c r="D459" s="415">
        <v>128.23999999999998</v>
      </c>
    </row>
    <row r="460" spans="2:4" ht="15" customHeight="1" x14ac:dyDescent="0.25">
      <c r="B460" s="413"/>
      <c r="C460" s="414" t="s">
        <v>1718</v>
      </c>
      <c r="D460" s="415">
        <v>134.28000000000003</v>
      </c>
    </row>
    <row r="461" spans="2:4" ht="15.75" customHeight="1" x14ac:dyDescent="0.25">
      <c r="B461" s="413" t="s">
        <v>1747</v>
      </c>
      <c r="C461" s="414" t="s">
        <v>1167</v>
      </c>
      <c r="D461" s="415">
        <v>3.57</v>
      </c>
    </row>
    <row r="462" spans="2:4" ht="15.75" customHeight="1" x14ac:dyDescent="0.25">
      <c r="B462" s="413" t="s">
        <v>1126</v>
      </c>
      <c r="C462" s="414" t="s">
        <v>1114</v>
      </c>
      <c r="D462" s="415">
        <v>11.437820754716981</v>
      </c>
    </row>
    <row r="463" spans="2:4" ht="15.75" customHeight="1" x14ac:dyDescent="0.25">
      <c r="B463" s="413"/>
      <c r="C463" s="414" t="s">
        <v>1115</v>
      </c>
      <c r="D463" s="415">
        <v>66.503528301886789</v>
      </c>
    </row>
    <row r="464" spans="2:4" ht="15" customHeight="1" x14ac:dyDescent="0.25">
      <c r="B464" s="413" t="s">
        <v>1127</v>
      </c>
      <c r="C464" s="414" t="s">
        <v>844</v>
      </c>
      <c r="D464" s="415">
        <v>47.175009433962273</v>
      </c>
    </row>
    <row r="465" spans="2:4" ht="15.75" customHeight="1" x14ac:dyDescent="0.25">
      <c r="B465" s="413" t="s">
        <v>1748</v>
      </c>
      <c r="C465" s="414" t="s">
        <v>1235</v>
      </c>
      <c r="D465" s="415">
        <v>7.9990000000000006</v>
      </c>
    </row>
    <row r="466" spans="2:4" ht="15" customHeight="1" x14ac:dyDescent="0.25">
      <c r="B466" s="413" t="s">
        <v>1128</v>
      </c>
      <c r="C466" s="414" t="s">
        <v>1242</v>
      </c>
      <c r="D466" s="415">
        <v>0.627</v>
      </c>
    </row>
    <row r="467" spans="2:4" ht="15" customHeight="1" x14ac:dyDescent="0.25">
      <c r="B467" s="413"/>
      <c r="C467" s="414" t="s">
        <v>1129</v>
      </c>
      <c r="D467" s="415">
        <v>10.951000000000002</v>
      </c>
    </row>
    <row r="468" spans="2:4" ht="15.75" customHeight="1" x14ac:dyDescent="0.25">
      <c r="B468" s="413"/>
      <c r="C468" s="414" t="s">
        <v>1130</v>
      </c>
      <c r="D468" s="415">
        <v>5.7869999999999999</v>
      </c>
    </row>
    <row r="469" spans="2:4" ht="15" customHeight="1" x14ac:dyDescent="0.25">
      <c r="B469" s="413"/>
      <c r="C469" s="414" t="s">
        <v>1131</v>
      </c>
      <c r="D469" s="415">
        <v>1.3565896226415091</v>
      </c>
    </row>
    <row r="470" spans="2:4" ht="15.75" customHeight="1" x14ac:dyDescent="0.25">
      <c r="B470" s="413"/>
      <c r="C470" s="414" t="s">
        <v>1132</v>
      </c>
      <c r="D470" s="415">
        <v>3.6789999999999998</v>
      </c>
    </row>
    <row r="471" spans="2:4" ht="15" customHeight="1" x14ac:dyDescent="0.25">
      <c r="B471" s="413" t="s">
        <v>1133</v>
      </c>
      <c r="C471" s="414" t="s">
        <v>1134</v>
      </c>
      <c r="D471" s="415">
        <v>212.6064911949685</v>
      </c>
    </row>
    <row r="472" spans="2:4" ht="15.75" customHeight="1" x14ac:dyDescent="0.25">
      <c r="B472" s="413" t="s">
        <v>1135</v>
      </c>
      <c r="C472" s="414" t="s">
        <v>783</v>
      </c>
      <c r="D472" s="415">
        <v>16.896000000000001</v>
      </c>
    </row>
    <row r="473" spans="2:4" ht="15.75" customHeight="1" x14ac:dyDescent="0.25">
      <c r="B473" s="413" t="s">
        <v>1136</v>
      </c>
      <c r="C473" s="414" t="s">
        <v>783</v>
      </c>
      <c r="D473" s="415">
        <v>13.648</v>
      </c>
    </row>
    <row r="474" spans="2:4" ht="15.75" customHeight="1" x14ac:dyDescent="0.25">
      <c r="B474" s="413" t="s">
        <v>1137</v>
      </c>
      <c r="C474" s="414" t="s">
        <v>803</v>
      </c>
      <c r="D474" s="415">
        <v>64.422948113207553</v>
      </c>
    </row>
    <row r="475" spans="2:4" ht="15.75" customHeight="1" x14ac:dyDescent="0.25">
      <c r="B475" s="413" t="s">
        <v>1140</v>
      </c>
      <c r="C475" s="414" t="s">
        <v>1749</v>
      </c>
      <c r="D475" s="415">
        <v>4.5690000000000008</v>
      </c>
    </row>
    <row r="476" spans="2:4" ht="15" customHeight="1" x14ac:dyDescent="0.25">
      <c r="B476" s="413"/>
      <c r="C476" s="414" t="s">
        <v>1139</v>
      </c>
      <c r="D476" s="415">
        <v>15.819249999999998</v>
      </c>
    </row>
    <row r="477" spans="2:4" ht="15" customHeight="1" x14ac:dyDescent="0.25">
      <c r="B477" s="413"/>
      <c r="C477" s="414" t="s">
        <v>803</v>
      </c>
      <c r="D477" s="415">
        <v>707.93236150943403</v>
      </c>
    </row>
    <row r="478" spans="2:4" ht="15" customHeight="1" x14ac:dyDescent="0.25">
      <c r="B478" s="413" t="s">
        <v>1141</v>
      </c>
      <c r="C478" s="414" t="s">
        <v>568</v>
      </c>
      <c r="D478" s="415">
        <v>2.282</v>
      </c>
    </row>
    <row r="479" spans="2:4" ht="15.75" customHeight="1" x14ac:dyDescent="0.25">
      <c r="B479" s="413"/>
      <c r="C479" s="414" t="s">
        <v>803</v>
      </c>
      <c r="D479" s="415">
        <v>3.3519999999999999</v>
      </c>
    </row>
    <row r="480" spans="2:4" ht="15" customHeight="1" x14ac:dyDescent="0.25">
      <c r="B480" s="413" t="s">
        <v>1750</v>
      </c>
      <c r="C480" s="414" t="s">
        <v>1751</v>
      </c>
      <c r="D480" s="415">
        <v>5.8959999999999999</v>
      </c>
    </row>
    <row r="481" spans="2:4" ht="15.75" customHeight="1" x14ac:dyDescent="0.25">
      <c r="B481" s="413" t="s">
        <v>1142</v>
      </c>
      <c r="C481" s="414" t="s">
        <v>1143</v>
      </c>
      <c r="D481" s="415">
        <v>29.585000000000004</v>
      </c>
    </row>
    <row r="482" spans="2:4" ht="15.75" customHeight="1" x14ac:dyDescent="0.25">
      <c r="B482" s="413"/>
      <c r="C482" s="414" t="s">
        <v>1055</v>
      </c>
      <c r="D482" s="415">
        <v>1387.13908490566</v>
      </c>
    </row>
    <row r="483" spans="2:4" ht="15" customHeight="1" x14ac:dyDescent="0.25">
      <c r="B483" s="413"/>
      <c r="C483" s="414" t="s">
        <v>1144</v>
      </c>
      <c r="D483" s="415">
        <v>107.30742452830187</v>
      </c>
    </row>
    <row r="484" spans="2:4" ht="15" customHeight="1" x14ac:dyDescent="0.25">
      <c r="B484" s="413" t="s">
        <v>1752</v>
      </c>
      <c r="C484" s="414" t="s">
        <v>1012</v>
      </c>
      <c r="D484" s="415">
        <v>2.4689999999999999</v>
      </c>
    </row>
    <row r="485" spans="2:4" ht="15" customHeight="1" x14ac:dyDescent="0.25">
      <c r="B485" s="413" t="s">
        <v>1146</v>
      </c>
      <c r="C485" s="414" t="s">
        <v>1678</v>
      </c>
      <c r="D485" s="415">
        <v>7.0119999999999996</v>
      </c>
    </row>
    <row r="486" spans="2:4" ht="15" customHeight="1" x14ac:dyDescent="0.25">
      <c r="B486" s="413"/>
      <c r="C486" s="414" t="s">
        <v>1011</v>
      </c>
      <c r="D486" s="415">
        <v>3.8410000000000002</v>
      </c>
    </row>
    <row r="487" spans="2:4" ht="15.75" customHeight="1" x14ac:dyDescent="0.25">
      <c r="B487" s="413"/>
      <c r="C487" s="414" t="s">
        <v>1147</v>
      </c>
      <c r="D487" s="415">
        <v>2979.594535264152</v>
      </c>
    </row>
    <row r="488" spans="2:4" ht="15.75" customHeight="1" x14ac:dyDescent="0.25">
      <c r="B488" s="413"/>
      <c r="C488" s="414" t="s">
        <v>873</v>
      </c>
      <c r="D488" s="415">
        <v>6319.8548624358409</v>
      </c>
    </row>
    <row r="489" spans="2:4" ht="15" customHeight="1" x14ac:dyDescent="0.25">
      <c r="B489" s="413"/>
      <c r="C489" s="414" t="s">
        <v>1753</v>
      </c>
      <c r="D489" s="415">
        <v>19.003</v>
      </c>
    </row>
    <row r="490" spans="2:4" ht="15.75" customHeight="1" x14ac:dyDescent="0.25">
      <c r="B490" s="413"/>
      <c r="C490" s="414" t="s">
        <v>1148</v>
      </c>
      <c r="D490" s="415">
        <v>205.10347169811322</v>
      </c>
    </row>
    <row r="491" spans="2:4" ht="15" customHeight="1" x14ac:dyDescent="0.25">
      <c r="B491" s="413"/>
      <c r="C491" s="414" t="s">
        <v>1149</v>
      </c>
      <c r="D491" s="415">
        <v>384.63929999999999</v>
      </c>
    </row>
    <row r="492" spans="2:4" ht="15" customHeight="1" x14ac:dyDescent="0.25">
      <c r="B492" s="413"/>
      <c r="C492" s="414" t="s">
        <v>1150</v>
      </c>
      <c r="D492" s="415">
        <v>15.310999999999998</v>
      </c>
    </row>
    <row r="493" spans="2:4" ht="15.75" customHeight="1" x14ac:dyDescent="0.25">
      <c r="B493" s="413"/>
      <c r="C493" s="414" t="s">
        <v>1151</v>
      </c>
      <c r="D493" s="415">
        <v>7917.4285726415001</v>
      </c>
    </row>
    <row r="494" spans="2:4" ht="15" customHeight="1" x14ac:dyDescent="0.25">
      <c r="B494" s="413" t="s">
        <v>1153</v>
      </c>
      <c r="C494" s="414" t="s">
        <v>1151</v>
      </c>
      <c r="D494" s="415">
        <v>47.42239150943395</v>
      </c>
    </row>
    <row r="495" spans="2:4" ht="15.75" customHeight="1" x14ac:dyDescent="0.25">
      <c r="B495" s="413" t="s">
        <v>1154</v>
      </c>
      <c r="C495" s="414" t="s">
        <v>1014</v>
      </c>
      <c r="D495" s="415">
        <v>33.601660377358492</v>
      </c>
    </row>
    <row r="496" spans="2:4" ht="15.75" customHeight="1" x14ac:dyDescent="0.25">
      <c r="B496" s="413"/>
      <c r="C496" s="414" t="s">
        <v>1011</v>
      </c>
      <c r="D496" s="415">
        <v>4.6630000000000003</v>
      </c>
    </row>
    <row r="497" spans="2:4" ht="15" customHeight="1" x14ac:dyDescent="0.25">
      <c r="B497" s="413" t="s">
        <v>1155</v>
      </c>
      <c r="C497" s="414" t="s">
        <v>873</v>
      </c>
      <c r="D497" s="415">
        <v>2.7039999999999997</v>
      </c>
    </row>
    <row r="498" spans="2:4" ht="15" customHeight="1" x14ac:dyDescent="0.25">
      <c r="B498" s="413" t="s">
        <v>1157</v>
      </c>
      <c r="C498" s="414" t="s">
        <v>1147</v>
      </c>
      <c r="D498" s="415">
        <v>164.91300943396232</v>
      </c>
    </row>
    <row r="499" spans="2:4" ht="15.75" customHeight="1" x14ac:dyDescent="0.25">
      <c r="B499" s="413"/>
      <c r="C499" s="414" t="s">
        <v>1151</v>
      </c>
      <c r="D499" s="415">
        <v>6.1470000000000002</v>
      </c>
    </row>
    <row r="500" spans="2:4" ht="15.75" customHeight="1" x14ac:dyDescent="0.25">
      <c r="B500" s="413" t="s">
        <v>1158</v>
      </c>
      <c r="C500" s="414" t="s">
        <v>1754</v>
      </c>
      <c r="D500" s="415">
        <v>60.823000000000015</v>
      </c>
    </row>
    <row r="501" spans="2:4" ht="15" customHeight="1" x14ac:dyDescent="0.25">
      <c r="B501" s="413"/>
      <c r="C501" s="414" t="s">
        <v>1011</v>
      </c>
      <c r="D501" s="415">
        <v>100.746</v>
      </c>
    </row>
    <row r="502" spans="2:4" ht="15" customHeight="1" x14ac:dyDescent="0.25">
      <c r="B502" s="413"/>
      <c r="C502" s="414" t="s">
        <v>1148</v>
      </c>
      <c r="D502" s="415">
        <v>3.6582547169811317</v>
      </c>
    </row>
    <row r="503" spans="2:4" ht="15" customHeight="1" x14ac:dyDescent="0.25">
      <c r="B503" s="413" t="s">
        <v>1159</v>
      </c>
      <c r="C503" s="414" t="s">
        <v>873</v>
      </c>
      <c r="D503" s="415">
        <v>7.850820754716981</v>
      </c>
    </row>
    <row r="504" spans="2:4" ht="15.75" customHeight="1" x14ac:dyDescent="0.25">
      <c r="B504" s="413" t="s">
        <v>1160</v>
      </c>
      <c r="C504" s="414" t="s">
        <v>1755</v>
      </c>
      <c r="D504" s="415">
        <v>215.32299999999998</v>
      </c>
    </row>
    <row r="505" spans="2:4" ht="15.75" customHeight="1" x14ac:dyDescent="0.25">
      <c r="B505" s="413"/>
      <c r="C505" s="414" t="s">
        <v>1161</v>
      </c>
      <c r="D505" s="415">
        <v>2117.3347358490573</v>
      </c>
    </row>
    <row r="506" spans="2:4" ht="15" customHeight="1" x14ac:dyDescent="0.25">
      <c r="B506" s="413"/>
      <c r="C506" s="414" t="s">
        <v>1213</v>
      </c>
      <c r="D506" s="415">
        <v>28.027999999999999</v>
      </c>
    </row>
    <row r="507" spans="2:4" ht="15" customHeight="1" x14ac:dyDescent="0.25">
      <c r="B507" s="413"/>
      <c r="C507" s="414" t="s">
        <v>1162</v>
      </c>
      <c r="D507" s="415">
        <v>7245.5461770440488</v>
      </c>
    </row>
    <row r="508" spans="2:4" ht="15.75" customHeight="1" x14ac:dyDescent="0.25">
      <c r="B508" s="413"/>
      <c r="C508" s="414" t="s">
        <v>1163</v>
      </c>
      <c r="D508" s="415">
        <v>66.940000000000012</v>
      </c>
    </row>
    <row r="509" spans="2:4" ht="15.75" customHeight="1" x14ac:dyDescent="0.25">
      <c r="B509" s="413" t="s">
        <v>1164</v>
      </c>
      <c r="C509" s="414" t="s">
        <v>1161</v>
      </c>
      <c r="D509" s="415">
        <v>5.4303632075471695</v>
      </c>
    </row>
    <row r="510" spans="2:4" ht="15.75" customHeight="1" x14ac:dyDescent="0.25">
      <c r="B510" s="413" t="s">
        <v>1165</v>
      </c>
      <c r="C510" s="414" t="s">
        <v>1162</v>
      </c>
      <c r="D510" s="415">
        <v>114.30350943396223</v>
      </c>
    </row>
    <row r="511" spans="2:4" ht="15" customHeight="1" x14ac:dyDescent="0.25">
      <c r="B511" s="413" t="s">
        <v>1166</v>
      </c>
      <c r="C511" s="414" t="s">
        <v>1075</v>
      </c>
      <c r="D511" s="415">
        <v>43.84</v>
      </c>
    </row>
    <row r="512" spans="2:4" ht="15" customHeight="1" x14ac:dyDescent="0.25">
      <c r="B512" s="413"/>
      <c r="C512" s="414" t="s">
        <v>1756</v>
      </c>
      <c r="D512" s="415">
        <v>7.11</v>
      </c>
    </row>
    <row r="513" spans="2:4" ht="15" customHeight="1" x14ac:dyDescent="0.25">
      <c r="B513" s="413"/>
      <c r="C513" s="414" t="s">
        <v>1339</v>
      </c>
      <c r="D513" s="415">
        <v>14.266</v>
      </c>
    </row>
    <row r="514" spans="2:4" ht="15" customHeight="1" x14ac:dyDescent="0.25">
      <c r="B514" s="413"/>
      <c r="C514" s="414" t="s">
        <v>1167</v>
      </c>
      <c r="D514" s="415">
        <v>142.6575896226415</v>
      </c>
    </row>
    <row r="515" spans="2:4" ht="15.75" customHeight="1" x14ac:dyDescent="0.25">
      <c r="B515" s="413"/>
      <c r="C515" s="414" t="s">
        <v>1757</v>
      </c>
      <c r="D515" s="415">
        <v>16.938000000000002</v>
      </c>
    </row>
    <row r="516" spans="2:4" ht="15.75" customHeight="1" x14ac:dyDescent="0.25">
      <c r="B516" s="413"/>
      <c r="C516" s="414" t="s">
        <v>982</v>
      </c>
      <c r="D516" s="415">
        <v>307.46899999999994</v>
      </c>
    </row>
    <row r="517" spans="2:4" ht="15.75" customHeight="1" x14ac:dyDescent="0.25">
      <c r="B517" s="413"/>
      <c r="C517" s="414" t="s">
        <v>1601</v>
      </c>
      <c r="D517" s="415">
        <v>1.82</v>
      </c>
    </row>
    <row r="518" spans="2:4" ht="15" customHeight="1" x14ac:dyDescent="0.25">
      <c r="B518" s="413"/>
      <c r="C518" s="414" t="s">
        <v>990</v>
      </c>
      <c r="D518" s="415">
        <v>33.387999999999998</v>
      </c>
    </row>
    <row r="519" spans="2:4" ht="15.75" customHeight="1" x14ac:dyDescent="0.25">
      <c r="B519" s="413"/>
      <c r="C519" s="414" t="s">
        <v>1758</v>
      </c>
      <c r="D519" s="415">
        <v>120.58</v>
      </c>
    </row>
    <row r="520" spans="2:4" ht="15.75" customHeight="1" x14ac:dyDescent="0.25">
      <c r="B520" s="413"/>
      <c r="C520" s="414" t="s">
        <v>1759</v>
      </c>
      <c r="D520" s="415">
        <v>30.265999999999998</v>
      </c>
    </row>
    <row r="521" spans="2:4" ht="15" customHeight="1" x14ac:dyDescent="0.25">
      <c r="B521" s="413"/>
      <c r="C521" s="414" t="s">
        <v>1168</v>
      </c>
      <c r="D521" s="415">
        <v>328.77700000000021</v>
      </c>
    </row>
    <row r="522" spans="2:4" ht="15" customHeight="1" x14ac:dyDescent="0.25">
      <c r="B522" s="413"/>
      <c r="C522" s="414" t="s">
        <v>1169</v>
      </c>
      <c r="D522" s="415">
        <v>97.175000000000011</v>
      </c>
    </row>
    <row r="523" spans="2:4" ht="15" customHeight="1" x14ac:dyDescent="0.25">
      <c r="B523" s="413"/>
      <c r="C523" s="414" t="s">
        <v>1760</v>
      </c>
      <c r="D523" s="415">
        <v>2.161</v>
      </c>
    </row>
    <row r="524" spans="2:4" ht="15" customHeight="1" x14ac:dyDescent="0.25">
      <c r="B524" s="413"/>
      <c r="C524" s="414" t="s">
        <v>1761</v>
      </c>
      <c r="D524" s="415">
        <v>10.5</v>
      </c>
    </row>
    <row r="525" spans="2:4" ht="15" customHeight="1" x14ac:dyDescent="0.25">
      <c r="B525" s="413" t="s">
        <v>1170</v>
      </c>
      <c r="C525" s="414" t="s">
        <v>1171</v>
      </c>
      <c r="D525" s="415">
        <v>4.1249292452830177</v>
      </c>
    </row>
    <row r="526" spans="2:4" ht="15" customHeight="1" x14ac:dyDescent="0.25">
      <c r="B526" s="413" t="s">
        <v>1172</v>
      </c>
      <c r="C526" s="414" t="s">
        <v>1762</v>
      </c>
      <c r="D526" s="415">
        <v>54.809121069182396</v>
      </c>
    </row>
    <row r="527" spans="2:4" ht="15.75" customHeight="1" x14ac:dyDescent="0.25">
      <c r="B527" s="413"/>
      <c r="C527" s="414" t="s">
        <v>1174</v>
      </c>
      <c r="D527" s="415">
        <v>1433.3275434339623</v>
      </c>
    </row>
    <row r="528" spans="2:4" ht="15.75" customHeight="1" x14ac:dyDescent="0.25">
      <c r="B528" s="413"/>
      <c r="C528" s="414" t="s">
        <v>1175</v>
      </c>
      <c r="D528" s="415">
        <v>2.2970000000000002</v>
      </c>
    </row>
    <row r="529" spans="2:4" ht="15" customHeight="1" x14ac:dyDescent="0.25">
      <c r="B529" s="413"/>
      <c r="C529" s="414" t="s">
        <v>569</v>
      </c>
      <c r="D529" s="415">
        <v>3871.1297718867932</v>
      </c>
    </row>
    <row r="530" spans="2:4" ht="15" customHeight="1" x14ac:dyDescent="0.25">
      <c r="B530" s="413"/>
      <c r="C530" s="414" t="s">
        <v>1763</v>
      </c>
      <c r="D530" s="415">
        <v>8.14</v>
      </c>
    </row>
    <row r="531" spans="2:4" ht="15.75" customHeight="1" x14ac:dyDescent="0.25">
      <c r="B531" s="413"/>
      <c r="C531" s="414" t="s">
        <v>1176</v>
      </c>
      <c r="D531" s="415">
        <v>101.045</v>
      </c>
    </row>
    <row r="532" spans="2:4" ht="15" customHeight="1" x14ac:dyDescent="0.25">
      <c r="B532" s="413"/>
      <c r="C532" s="414" t="s">
        <v>1284</v>
      </c>
      <c r="D532" s="415">
        <v>7.9130000000000003</v>
      </c>
    </row>
    <row r="533" spans="2:4" ht="15" customHeight="1" x14ac:dyDescent="0.25">
      <c r="B533" s="413" t="s">
        <v>1177</v>
      </c>
      <c r="C533" s="414" t="s">
        <v>1762</v>
      </c>
      <c r="D533" s="415">
        <v>4.4980000000000002</v>
      </c>
    </row>
    <row r="534" spans="2:4" ht="15" customHeight="1" x14ac:dyDescent="0.25">
      <c r="B534" s="413"/>
      <c r="C534" s="414" t="s">
        <v>1011</v>
      </c>
      <c r="D534" s="415">
        <v>160.667</v>
      </c>
    </row>
    <row r="535" spans="2:4" ht="15.75" customHeight="1" x14ac:dyDescent="0.25">
      <c r="B535" s="413"/>
      <c r="C535" s="414" t="s">
        <v>1178</v>
      </c>
      <c r="D535" s="415">
        <v>279.97030660377357</v>
      </c>
    </row>
    <row r="536" spans="2:4" ht="15" customHeight="1" x14ac:dyDescent="0.25">
      <c r="B536" s="413" t="s">
        <v>1179</v>
      </c>
      <c r="C536" s="414" t="s">
        <v>1482</v>
      </c>
      <c r="D536" s="415">
        <v>22.16</v>
      </c>
    </row>
    <row r="537" spans="2:4" ht="15" customHeight="1" x14ac:dyDescent="0.25">
      <c r="B537" s="413"/>
      <c r="C537" s="414" t="s">
        <v>1049</v>
      </c>
      <c r="D537" s="415">
        <v>155.89499999999998</v>
      </c>
    </row>
    <row r="538" spans="2:4" ht="15.75" customHeight="1" x14ac:dyDescent="0.25">
      <c r="B538" s="413"/>
      <c r="C538" s="414" t="s">
        <v>929</v>
      </c>
      <c r="D538" s="415">
        <v>2.3660000000000001</v>
      </c>
    </row>
    <row r="539" spans="2:4" ht="15" customHeight="1" x14ac:dyDescent="0.25">
      <c r="B539" s="413" t="s">
        <v>1180</v>
      </c>
      <c r="C539" s="414" t="s">
        <v>1275</v>
      </c>
      <c r="D539" s="415">
        <v>5.1880000000000006</v>
      </c>
    </row>
    <row r="540" spans="2:4" ht="15" customHeight="1" x14ac:dyDescent="0.25">
      <c r="B540" s="413"/>
      <c r="C540" s="414" t="s">
        <v>1276</v>
      </c>
      <c r="D540" s="415">
        <v>23.084000000000003</v>
      </c>
    </row>
    <row r="541" spans="2:4" ht="15" customHeight="1" x14ac:dyDescent="0.25">
      <c r="B541" s="413"/>
      <c r="C541" s="414" t="s">
        <v>1181</v>
      </c>
      <c r="D541" s="415">
        <v>83.00644339622643</v>
      </c>
    </row>
    <row r="542" spans="2:4" ht="15" customHeight="1" x14ac:dyDescent="0.25">
      <c r="B542" s="413" t="s">
        <v>1182</v>
      </c>
      <c r="C542" s="414" t="s">
        <v>1183</v>
      </c>
      <c r="D542" s="415">
        <v>295.7263018867925</v>
      </c>
    </row>
    <row r="543" spans="2:4" ht="15" customHeight="1" x14ac:dyDescent="0.25">
      <c r="B543" s="413"/>
      <c r="C543" s="414" t="s">
        <v>1000</v>
      </c>
      <c r="D543" s="415">
        <v>5.4429999999999996</v>
      </c>
    </row>
    <row r="544" spans="2:4" ht="15" customHeight="1" x14ac:dyDescent="0.25">
      <c r="B544" s="413" t="s">
        <v>1184</v>
      </c>
      <c r="C544" s="414" t="s">
        <v>1183</v>
      </c>
      <c r="D544" s="415">
        <v>3.5369999999999999</v>
      </c>
    </row>
    <row r="545" spans="2:4" ht="15" customHeight="1" x14ac:dyDescent="0.25">
      <c r="B545" s="413" t="s">
        <v>1764</v>
      </c>
      <c r="C545" s="414" t="s">
        <v>805</v>
      </c>
      <c r="D545" s="415">
        <v>8.6110000000000007</v>
      </c>
    </row>
    <row r="546" spans="2:4" ht="15" customHeight="1" x14ac:dyDescent="0.25">
      <c r="B546" s="413" t="s">
        <v>1185</v>
      </c>
      <c r="C546" s="414" t="s">
        <v>1765</v>
      </c>
      <c r="D546" s="415">
        <v>3.5139999999999998</v>
      </c>
    </row>
    <row r="547" spans="2:4" ht="15" customHeight="1" x14ac:dyDescent="0.25">
      <c r="B547" s="413"/>
      <c r="C547" s="414" t="s">
        <v>805</v>
      </c>
      <c r="D547" s="415">
        <v>829.2614933962268</v>
      </c>
    </row>
    <row r="548" spans="2:4" ht="15" customHeight="1" x14ac:dyDescent="0.25">
      <c r="B548" s="413"/>
      <c r="C548" s="414" t="s">
        <v>1766</v>
      </c>
      <c r="D548" s="415">
        <v>382.03803000000016</v>
      </c>
    </row>
    <row r="549" spans="2:4" ht="15.75" customHeight="1" x14ac:dyDescent="0.25">
      <c r="B549" s="413"/>
      <c r="C549" s="414" t="s">
        <v>1188</v>
      </c>
      <c r="D549" s="415">
        <v>55.420216981132043</v>
      </c>
    </row>
    <row r="550" spans="2:4" ht="15.75" customHeight="1" x14ac:dyDescent="0.25">
      <c r="B550" s="413" t="s">
        <v>1767</v>
      </c>
      <c r="C550" s="414" t="s">
        <v>1189</v>
      </c>
      <c r="D550" s="415">
        <v>88.54481132075469</v>
      </c>
    </row>
    <row r="551" spans="2:4" ht="15" customHeight="1" x14ac:dyDescent="0.25">
      <c r="B551" s="413" t="s">
        <v>1190</v>
      </c>
      <c r="C551" s="414" t="s">
        <v>1191</v>
      </c>
      <c r="D551" s="415">
        <v>6254.4004643081853</v>
      </c>
    </row>
    <row r="552" spans="2:4" ht="15" customHeight="1" x14ac:dyDescent="0.25">
      <c r="B552" s="413" t="s">
        <v>1768</v>
      </c>
      <c r="C552" s="414" t="s">
        <v>1657</v>
      </c>
      <c r="D552" s="415">
        <v>36.037999999999997</v>
      </c>
    </row>
    <row r="553" spans="2:4" ht="15.75" customHeight="1" x14ac:dyDescent="0.25">
      <c r="B553" s="413"/>
      <c r="C553" s="414" t="s">
        <v>1769</v>
      </c>
      <c r="D553" s="415">
        <v>7.03</v>
      </c>
    </row>
    <row r="554" spans="2:4" ht="15" customHeight="1" x14ac:dyDescent="0.25">
      <c r="B554" s="413"/>
      <c r="C554" s="414" t="s">
        <v>1277</v>
      </c>
      <c r="D554" s="415">
        <v>1.821</v>
      </c>
    </row>
    <row r="555" spans="2:4" ht="15" customHeight="1" x14ac:dyDescent="0.25">
      <c r="B555" s="413" t="s">
        <v>1192</v>
      </c>
      <c r="C555" s="414" t="s">
        <v>1193</v>
      </c>
      <c r="D555" s="415">
        <v>62.564976415094321</v>
      </c>
    </row>
    <row r="556" spans="2:4" ht="15" customHeight="1" x14ac:dyDescent="0.25">
      <c r="B556" s="413" t="s">
        <v>1194</v>
      </c>
      <c r="C556" s="414" t="s">
        <v>1195</v>
      </c>
      <c r="D556" s="415">
        <v>25.084000000000003</v>
      </c>
    </row>
    <row r="557" spans="2:4" ht="15.75" customHeight="1" x14ac:dyDescent="0.25">
      <c r="B557" s="413"/>
      <c r="C557" s="414" t="s">
        <v>1196</v>
      </c>
      <c r="D557" s="415">
        <v>2.606108490566037</v>
      </c>
    </row>
    <row r="558" spans="2:4" ht="15" customHeight="1" x14ac:dyDescent="0.25">
      <c r="B558" s="413"/>
      <c r="C558" s="414" t="s">
        <v>1197</v>
      </c>
      <c r="D558" s="415">
        <v>14.383999999999999</v>
      </c>
    </row>
    <row r="559" spans="2:4" ht="15" customHeight="1" x14ac:dyDescent="0.25">
      <c r="B559" s="413"/>
      <c r="C559" s="414" t="s">
        <v>1006</v>
      </c>
      <c r="D559" s="415">
        <v>2665.7674182389942</v>
      </c>
    </row>
    <row r="560" spans="2:4" ht="15.75" customHeight="1" x14ac:dyDescent="0.25">
      <c r="B560" s="413"/>
      <c r="C560" s="414" t="s">
        <v>910</v>
      </c>
      <c r="D560" s="415">
        <v>22.357207547169818</v>
      </c>
    </row>
    <row r="561" spans="2:4" ht="15" customHeight="1" x14ac:dyDescent="0.25">
      <c r="B561" s="413"/>
      <c r="C561" s="414" t="s">
        <v>1198</v>
      </c>
      <c r="D561" s="415">
        <v>541.22195283018834</v>
      </c>
    </row>
    <row r="562" spans="2:4" ht="15" customHeight="1" x14ac:dyDescent="0.25">
      <c r="B562" s="413"/>
      <c r="C562" s="414" t="s">
        <v>1193</v>
      </c>
      <c r="D562" s="415">
        <v>10.305806603773583</v>
      </c>
    </row>
    <row r="563" spans="2:4" ht="15.75" customHeight="1" x14ac:dyDescent="0.25">
      <c r="B563" s="413" t="s">
        <v>1199</v>
      </c>
      <c r="C563" s="414" t="s">
        <v>1027</v>
      </c>
      <c r="D563" s="415">
        <v>2.5939999999999999</v>
      </c>
    </row>
    <row r="564" spans="2:4" ht="15.75" customHeight="1" x14ac:dyDescent="0.25">
      <c r="B564" s="413"/>
      <c r="C564" s="414" t="s">
        <v>1006</v>
      </c>
      <c r="D564" s="415">
        <v>5.1189999999999998</v>
      </c>
    </row>
    <row r="565" spans="2:4" ht="15" customHeight="1" x14ac:dyDescent="0.25">
      <c r="B565" s="413"/>
      <c r="C565" s="414" t="s">
        <v>1198</v>
      </c>
      <c r="D565" s="415">
        <v>19.722000000000001</v>
      </c>
    </row>
    <row r="566" spans="2:4" ht="15.75" customHeight="1" x14ac:dyDescent="0.25">
      <c r="B566" s="413"/>
      <c r="C566" s="414" t="s">
        <v>1200</v>
      </c>
      <c r="D566" s="415">
        <v>136.85300000000001</v>
      </c>
    </row>
    <row r="567" spans="2:4" ht="15.75" customHeight="1" x14ac:dyDescent="0.25">
      <c r="B567" s="413"/>
      <c r="C567" s="414" t="s">
        <v>1193</v>
      </c>
      <c r="D567" s="415">
        <v>55.803004716981143</v>
      </c>
    </row>
    <row r="568" spans="2:4" ht="15" customHeight="1" x14ac:dyDescent="0.25">
      <c r="B568" s="413" t="s">
        <v>1201</v>
      </c>
      <c r="C568" s="414" t="s">
        <v>1202</v>
      </c>
      <c r="D568" s="415">
        <v>19.241688679245286</v>
      </c>
    </row>
    <row r="569" spans="2:4" ht="15" customHeight="1" x14ac:dyDescent="0.25">
      <c r="B569" s="413" t="s">
        <v>1203</v>
      </c>
      <c r="C569" s="414" t="s">
        <v>1202</v>
      </c>
      <c r="D569" s="415">
        <v>20.571999999999999</v>
      </c>
    </row>
    <row r="570" spans="2:4" ht="15.75" customHeight="1" x14ac:dyDescent="0.25">
      <c r="B570" s="413" t="s">
        <v>1204</v>
      </c>
      <c r="C570" s="414" t="s">
        <v>1205</v>
      </c>
      <c r="D570" s="415">
        <v>9.8428396226415114</v>
      </c>
    </row>
    <row r="571" spans="2:4" ht="15.75" customHeight="1" x14ac:dyDescent="0.25">
      <c r="B571" s="413"/>
      <c r="C571" s="414" t="s">
        <v>1193</v>
      </c>
      <c r="D571" s="415">
        <v>1.72</v>
      </c>
    </row>
    <row r="572" spans="2:4" ht="15.75" customHeight="1" x14ac:dyDescent="0.25">
      <c r="B572" s="413" t="s">
        <v>1206</v>
      </c>
      <c r="C572" s="414" t="s">
        <v>1012</v>
      </c>
      <c r="D572" s="415">
        <v>5.7009999999999996</v>
      </c>
    </row>
    <row r="573" spans="2:4" ht="15" customHeight="1" x14ac:dyDescent="0.25">
      <c r="B573" s="413"/>
      <c r="C573" s="414" t="s">
        <v>1770</v>
      </c>
      <c r="D573" s="415">
        <v>61.682999999999993</v>
      </c>
    </row>
    <row r="574" spans="2:4" ht="15" customHeight="1" x14ac:dyDescent="0.25">
      <c r="B574" s="413"/>
      <c r="C574" s="414" t="s">
        <v>1129</v>
      </c>
      <c r="D574" s="415">
        <v>17.573</v>
      </c>
    </row>
    <row r="575" spans="2:4" ht="15.75" customHeight="1" x14ac:dyDescent="0.25">
      <c r="B575" s="413"/>
      <c r="C575" s="414" t="s">
        <v>1771</v>
      </c>
      <c r="D575" s="415">
        <v>2.8370000000000002</v>
      </c>
    </row>
    <row r="576" spans="2:4" ht="15" customHeight="1" x14ac:dyDescent="0.25">
      <c r="B576" s="413"/>
      <c r="C576" s="414" t="s">
        <v>1130</v>
      </c>
      <c r="D576" s="415">
        <v>21.256999999999998</v>
      </c>
    </row>
    <row r="577" spans="2:4" ht="15.75" customHeight="1" x14ac:dyDescent="0.25">
      <c r="B577" s="413"/>
      <c r="C577" s="414" t="s">
        <v>1772</v>
      </c>
      <c r="D577" s="415">
        <v>42.828000000000003</v>
      </c>
    </row>
    <row r="578" spans="2:4" ht="15.75" customHeight="1" x14ac:dyDescent="0.25">
      <c r="B578" s="413"/>
      <c r="C578" s="414" t="s">
        <v>1131</v>
      </c>
      <c r="D578" s="415">
        <v>203.22099999999995</v>
      </c>
    </row>
    <row r="579" spans="2:4" ht="15.75" customHeight="1" x14ac:dyDescent="0.25">
      <c r="B579" s="413"/>
      <c r="C579" s="414" t="s">
        <v>1132</v>
      </c>
      <c r="D579" s="415">
        <v>12.04</v>
      </c>
    </row>
    <row r="580" spans="2:4" ht="15" customHeight="1" x14ac:dyDescent="0.25">
      <c r="B580" s="413"/>
      <c r="C580" s="414" t="s">
        <v>1773</v>
      </c>
      <c r="D580" s="415">
        <v>22.062999999999999</v>
      </c>
    </row>
    <row r="581" spans="2:4" ht="15" customHeight="1" x14ac:dyDescent="0.25">
      <c r="B581" s="413" t="s">
        <v>1774</v>
      </c>
      <c r="C581" s="414" t="s">
        <v>1191</v>
      </c>
      <c r="D581" s="415">
        <v>12.287000000000001</v>
      </c>
    </row>
    <row r="582" spans="2:4" ht="15.75" customHeight="1" x14ac:dyDescent="0.25">
      <c r="B582" s="413" t="s">
        <v>1207</v>
      </c>
      <c r="C582" s="414" t="s">
        <v>1005</v>
      </c>
      <c r="D582" s="415">
        <v>355.77635769811315</v>
      </c>
    </row>
    <row r="583" spans="2:4" ht="15" customHeight="1" x14ac:dyDescent="0.25">
      <c r="B583" s="413"/>
      <c r="C583" s="414" t="s">
        <v>1006</v>
      </c>
      <c r="D583" s="415">
        <v>140.441</v>
      </c>
    </row>
    <row r="584" spans="2:4" ht="15.75" customHeight="1" x14ac:dyDescent="0.25">
      <c r="B584" s="413"/>
      <c r="C584" s="414" t="s">
        <v>1208</v>
      </c>
      <c r="D584" s="415">
        <v>6.1059999999999999</v>
      </c>
    </row>
    <row r="585" spans="2:4" ht="15" customHeight="1" x14ac:dyDescent="0.25">
      <c r="B585" s="413"/>
      <c r="C585" s="414" t="s">
        <v>1775</v>
      </c>
      <c r="D585" s="415">
        <v>3.9489999999999998</v>
      </c>
    </row>
    <row r="586" spans="2:4" ht="15.75" customHeight="1" x14ac:dyDescent="0.25">
      <c r="B586" s="413"/>
      <c r="C586" s="414" t="s">
        <v>1209</v>
      </c>
      <c r="D586" s="415">
        <v>171.53967452830182</v>
      </c>
    </row>
    <row r="587" spans="2:4" ht="15.75" customHeight="1" x14ac:dyDescent="0.25">
      <c r="B587" s="413"/>
      <c r="C587" s="414" t="s">
        <v>1210</v>
      </c>
      <c r="D587" s="415">
        <v>12.306000000000001</v>
      </c>
    </row>
    <row r="588" spans="2:4" ht="12" customHeight="1" x14ac:dyDescent="0.25">
      <c r="B588" s="413" t="s">
        <v>1211</v>
      </c>
      <c r="C588" s="414" t="s">
        <v>896</v>
      </c>
      <c r="D588" s="415">
        <v>153.06193867924529</v>
      </c>
    </row>
    <row r="589" spans="2:4" ht="12" customHeight="1" x14ac:dyDescent="0.25">
      <c r="B589" s="413" t="s">
        <v>1212</v>
      </c>
      <c r="C589" s="414" t="s">
        <v>1755</v>
      </c>
      <c r="D589" s="415">
        <v>240.864</v>
      </c>
    </row>
    <row r="590" spans="2:4" ht="12" customHeight="1" x14ac:dyDescent="0.25">
      <c r="B590" s="413"/>
      <c r="C590" s="414" t="s">
        <v>1161</v>
      </c>
      <c r="D590" s="415">
        <v>12.867000000000001</v>
      </c>
    </row>
    <row r="591" spans="2:4" ht="12" customHeight="1" x14ac:dyDescent="0.25">
      <c r="B591" s="413"/>
      <c r="C591" s="414" t="s">
        <v>1213</v>
      </c>
      <c r="D591" s="415">
        <v>24520.934994654097</v>
      </c>
    </row>
    <row r="592" spans="2:4" ht="12" customHeight="1" x14ac:dyDescent="0.25">
      <c r="B592" s="413"/>
      <c r="C592" s="414" t="s">
        <v>1162</v>
      </c>
      <c r="D592" s="415">
        <v>2.7589999999999999</v>
      </c>
    </row>
    <row r="593" spans="2:4" ht="12" customHeight="1" x14ac:dyDescent="0.25">
      <c r="B593" s="413"/>
      <c r="C593" s="414" t="s">
        <v>1776</v>
      </c>
      <c r="D593" s="415">
        <v>26.962</v>
      </c>
    </row>
    <row r="594" spans="2:4" ht="12" customHeight="1" x14ac:dyDescent="0.25">
      <c r="B594" s="413" t="s">
        <v>1214</v>
      </c>
      <c r="C594" s="414" t="s">
        <v>1213</v>
      </c>
      <c r="D594" s="415">
        <v>120.596</v>
      </c>
    </row>
    <row r="595" spans="2:4" ht="12" customHeight="1" x14ac:dyDescent="0.25">
      <c r="B595" s="413" t="s">
        <v>1777</v>
      </c>
      <c r="C595" s="414" t="s">
        <v>1778</v>
      </c>
      <c r="D595" s="415">
        <v>7.7269999999999994</v>
      </c>
    </row>
    <row r="596" spans="2:4" ht="12" customHeight="1" x14ac:dyDescent="0.25">
      <c r="B596" s="413" t="s">
        <v>1215</v>
      </c>
      <c r="C596" s="414" t="s">
        <v>1779</v>
      </c>
      <c r="D596" s="415">
        <v>12.200000000000001</v>
      </c>
    </row>
    <row r="597" spans="2:4" ht="12" customHeight="1" x14ac:dyDescent="0.25">
      <c r="B597" s="413"/>
      <c r="C597" s="414" t="s">
        <v>1216</v>
      </c>
      <c r="D597" s="415">
        <v>90.781660377358506</v>
      </c>
    </row>
    <row r="598" spans="2:4" ht="12" customHeight="1" x14ac:dyDescent="0.25">
      <c r="B598" s="413"/>
      <c r="C598" s="414" t="s">
        <v>1217</v>
      </c>
      <c r="D598" s="415">
        <v>2176.7877971698126</v>
      </c>
    </row>
    <row r="599" spans="2:4" ht="12" customHeight="1" x14ac:dyDescent="0.25">
      <c r="B599" s="413"/>
      <c r="C599" s="414" t="s">
        <v>1219</v>
      </c>
      <c r="D599" s="415">
        <v>152.74982547169807</v>
      </c>
    </row>
    <row r="600" spans="2:4" ht="12" customHeight="1" x14ac:dyDescent="0.25">
      <c r="B600" s="413"/>
      <c r="C600" s="414" t="s">
        <v>1220</v>
      </c>
      <c r="D600" s="415">
        <v>3.8839999999999995</v>
      </c>
    </row>
    <row r="601" spans="2:4" ht="12" customHeight="1" x14ac:dyDescent="0.25">
      <c r="B601" s="413" t="s">
        <v>1221</v>
      </c>
      <c r="C601" s="414" t="s">
        <v>1217</v>
      </c>
      <c r="D601" s="415">
        <v>138.98269811320753</v>
      </c>
    </row>
    <row r="602" spans="2:4" ht="12" customHeight="1" x14ac:dyDescent="0.25">
      <c r="B602" s="413" t="s">
        <v>1222</v>
      </c>
      <c r="C602" s="414" t="s">
        <v>1216</v>
      </c>
      <c r="D602" s="415">
        <v>679.76325803584905</v>
      </c>
    </row>
    <row r="603" spans="2:4" ht="12" customHeight="1" x14ac:dyDescent="0.25">
      <c r="B603" s="413"/>
      <c r="C603" s="414" t="s">
        <v>1217</v>
      </c>
      <c r="D603" s="415">
        <v>66.707000000000008</v>
      </c>
    </row>
    <row r="604" spans="2:4" ht="12" customHeight="1" x14ac:dyDescent="0.25">
      <c r="B604" s="413" t="s">
        <v>1223</v>
      </c>
      <c r="C604" s="414" t="s">
        <v>1224</v>
      </c>
      <c r="D604" s="415">
        <v>279.4073301886794</v>
      </c>
    </row>
    <row r="605" spans="2:4" ht="12" customHeight="1" x14ac:dyDescent="0.25">
      <c r="B605" s="413" t="s">
        <v>1225</v>
      </c>
      <c r="C605" s="414" t="s">
        <v>1027</v>
      </c>
      <c r="D605" s="415">
        <v>352.14700000000016</v>
      </c>
    </row>
    <row r="606" spans="2:4" ht="12" customHeight="1" x14ac:dyDescent="0.25">
      <c r="B606" s="413"/>
      <c r="C606" s="414" t="s">
        <v>1231</v>
      </c>
      <c r="D606" s="415">
        <v>57.179999999999993</v>
      </c>
    </row>
    <row r="607" spans="2:4" ht="12" customHeight="1" x14ac:dyDescent="0.25">
      <c r="B607" s="413" t="s">
        <v>1226</v>
      </c>
      <c r="C607" s="414" t="s">
        <v>1227</v>
      </c>
      <c r="D607" s="415">
        <v>373.10066037735845</v>
      </c>
    </row>
    <row r="608" spans="2:4" ht="12" customHeight="1" x14ac:dyDescent="0.25">
      <c r="B608" s="413"/>
      <c r="C608" s="414" t="s">
        <v>1229</v>
      </c>
      <c r="D608" s="415">
        <v>22.238999999999997</v>
      </c>
    </row>
    <row r="609" spans="2:4" ht="12" customHeight="1" x14ac:dyDescent="0.25">
      <c r="B609" s="413" t="s">
        <v>1780</v>
      </c>
      <c r="C609" s="414" t="s">
        <v>792</v>
      </c>
      <c r="D609" s="415">
        <v>1.5780000000000001</v>
      </c>
    </row>
    <row r="610" spans="2:4" ht="12" customHeight="1" x14ac:dyDescent="0.25">
      <c r="B610" s="413"/>
      <c r="C610" s="414" t="s">
        <v>783</v>
      </c>
      <c r="D610" s="415">
        <v>18.318999999999999</v>
      </c>
    </row>
    <row r="611" spans="2:4" ht="12" customHeight="1" x14ac:dyDescent="0.25">
      <c r="B611" s="413"/>
      <c r="C611" s="414" t="s">
        <v>1242</v>
      </c>
      <c r="D611" s="415">
        <v>8.1839999999999993</v>
      </c>
    </row>
    <row r="612" spans="2:4" ht="12" customHeight="1" x14ac:dyDescent="0.25">
      <c r="B612" s="413" t="s">
        <v>1230</v>
      </c>
      <c r="C612" s="414" t="s">
        <v>1027</v>
      </c>
      <c r="D612" s="415">
        <v>8377.9418901320714</v>
      </c>
    </row>
    <row r="613" spans="2:4" ht="12" customHeight="1" x14ac:dyDescent="0.25">
      <c r="B613" s="413"/>
      <c r="C613" s="414" t="s">
        <v>1231</v>
      </c>
      <c r="D613" s="415">
        <v>4206.3530377358466</v>
      </c>
    </row>
    <row r="614" spans="2:4" ht="12" customHeight="1" x14ac:dyDescent="0.25">
      <c r="B614" s="413"/>
      <c r="C614" s="414" t="s">
        <v>1232</v>
      </c>
      <c r="D614" s="415">
        <v>375.82100000000003</v>
      </c>
    </row>
    <row r="615" spans="2:4" ht="12" customHeight="1" x14ac:dyDescent="0.25">
      <c r="B615" s="413" t="s">
        <v>1781</v>
      </c>
      <c r="C615" s="414" t="s">
        <v>1782</v>
      </c>
      <c r="D615" s="415">
        <v>3.5379999999999998</v>
      </c>
    </row>
    <row r="616" spans="2:4" ht="12" customHeight="1" x14ac:dyDescent="0.25">
      <c r="B616" s="413" t="s">
        <v>1783</v>
      </c>
      <c r="C616" s="414" t="s">
        <v>1234</v>
      </c>
      <c r="D616" s="415">
        <v>0.97499999999999998</v>
      </c>
    </row>
    <row r="617" spans="2:4" ht="12" customHeight="1" x14ac:dyDescent="0.25">
      <c r="B617" s="413" t="s">
        <v>1233</v>
      </c>
      <c r="C617" s="414" t="s">
        <v>1488</v>
      </c>
      <c r="D617" s="415">
        <v>0.80700000000000005</v>
      </c>
    </row>
    <row r="618" spans="2:4" ht="12" customHeight="1" x14ac:dyDescent="0.25">
      <c r="B618" s="413"/>
      <c r="C618" s="414" t="s">
        <v>910</v>
      </c>
      <c r="D618" s="415">
        <v>0.17100000000000001</v>
      </c>
    </row>
    <row r="619" spans="2:4" ht="12" customHeight="1" x14ac:dyDescent="0.25">
      <c r="B619" s="413"/>
      <c r="C619" s="414" t="s">
        <v>1234</v>
      </c>
      <c r="D619" s="415">
        <v>217.37629716981141</v>
      </c>
    </row>
    <row r="620" spans="2:4" ht="12" customHeight="1" x14ac:dyDescent="0.25">
      <c r="B620" s="413"/>
      <c r="C620" s="414" t="s">
        <v>1235</v>
      </c>
      <c r="D620" s="415">
        <v>346.90076572327013</v>
      </c>
    </row>
    <row r="621" spans="2:4" ht="12" customHeight="1" x14ac:dyDescent="0.25">
      <c r="B621" s="413"/>
      <c r="C621" s="414" t="s">
        <v>1236</v>
      </c>
      <c r="D621" s="415">
        <v>242.45007547169794</v>
      </c>
    </row>
    <row r="622" spans="2:4" ht="12" customHeight="1" x14ac:dyDescent="0.25">
      <c r="B622" s="413"/>
      <c r="C622" s="414" t="s">
        <v>1390</v>
      </c>
      <c r="D622" s="415">
        <v>0.29899999999999999</v>
      </c>
    </row>
    <row r="623" spans="2:4" ht="12" customHeight="1" x14ac:dyDescent="0.25">
      <c r="B623" s="413" t="s">
        <v>1237</v>
      </c>
      <c r="C623" s="414" t="s">
        <v>1234</v>
      </c>
      <c r="D623" s="415">
        <v>0.15724056603773601</v>
      </c>
    </row>
    <row r="624" spans="2:4" ht="12" customHeight="1" x14ac:dyDescent="0.25">
      <c r="B624" s="413" t="s">
        <v>1784</v>
      </c>
      <c r="C624" s="414" t="s">
        <v>936</v>
      </c>
      <c r="D624" s="415">
        <v>0.92500000000000004</v>
      </c>
    </row>
    <row r="625" spans="2:4" ht="12" customHeight="1" x14ac:dyDescent="0.25">
      <c r="B625" s="413"/>
      <c r="C625" s="414" t="s">
        <v>1785</v>
      </c>
      <c r="D625" s="415">
        <v>34.543000000000006</v>
      </c>
    </row>
    <row r="626" spans="2:4" ht="12" customHeight="1" x14ac:dyDescent="0.25">
      <c r="B626" s="413"/>
      <c r="C626" s="414" t="s">
        <v>972</v>
      </c>
      <c r="D626" s="415">
        <v>2.113</v>
      </c>
    </row>
    <row r="627" spans="2:4" ht="12" customHeight="1" x14ac:dyDescent="0.25">
      <c r="B627" s="413"/>
      <c r="C627" s="414" t="s">
        <v>1786</v>
      </c>
      <c r="D627" s="415">
        <v>34.951000000000001</v>
      </c>
    </row>
    <row r="628" spans="2:4" ht="12" customHeight="1" x14ac:dyDescent="0.25">
      <c r="B628" s="413" t="s">
        <v>1787</v>
      </c>
      <c r="C628" s="414" t="s">
        <v>1785</v>
      </c>
      <c r="D628" s="415">
        <v>8.9499999999999993</v>
      </c>
    </row>
    <row r="629" spans="2:4" ht="12" customHeight="1" x14ac:dyDescent="0.25">
      <c r="B629" s="413"/>
      <c r="C629" s="414" t="s">
        <v>1788</v>
      </c>
      <c r="D629" s="415">
        <v>6.7119999999999997</v>
      </c>
    </row>
    <row r="630" spans="2:4" ht="12" customHeight="1" x14ac:dyDescent="0.25">
      <c r="B630" s="413" t="s">
        <v>1238</v>
      </c>
      <c r="C630" s="414" t="s">
        <v>1010</v>
      </c>
      <c r="D630" s="415">
        <v>43.949999999999996</v>
      </c>
    </row>
    <row r="631" spans="2:4" ht="12" customHeight="1" x14ac:dyDescent="0.25">
      <c r="B631" s="413"/>
      <c r="C631" s="414" t="s">
        <v>1011</v>
      </c>
      <c r="D631" s="415">
        <v>16.481000000000002</v>
      </c>
    </row>
    <row r="632" spans="2:4" ht="12" customHeight="1" x14ac:dyDescent="0.25">
      <c r="B632" s="413"/>
      <c r="C632" s="414" t="s">
        <v>1239</v>
      </c>
      <c r="D632" s="415">
        <v>411.50508962264155</v>
      </c>
    </row>
    <row r="633" spans="2:4" ht="12" customHeight="1" x14ac:dyDescent="0.25">
      <c r="B633" s="413" t="s">
        <v>1240</v>
      </c>
      <c r="C633" s="414" t="s">
        <v>1012</v>
      </c>
      <c r="D633" s="415">
        <v>5.056</v>
      </c>
    </row>
    <row r="634" spans="2:4" ht="12" customHeight="1" x14ac:dyDescent="0.25">
      <c r="B634" s="413" t="s">
        <v>1241</v>
      </c>
      <c r="C634" s="414" t="s">
        <v>1242</v>
      </c>
      <c r="D634" s="415">
        <v>4059.9652031509422</v>
      </c>
    </row>
    <row r="635" spans="2:4" ht="12" customHeight="1" x14ac:dyDescent="0.25">
      <c r="B635" s="413" t="s">
        <v>1244</v>
      </c>
      <c r="C635" s="414" t="s">
        <v>1245</v>
      </c>
      <c r="D635" s="415">
        <v>2.5609999999999999</v>
      </c>
    </row>
    <row r="636" spans="2:4" ht="12" customHeight="1" x14ac:dyDescent="0.25">
      <c r="B636" s="413"/>
      <c r="C636" s="414" t="s">
        <v>1246</v>
      </c>
      <c r="D636" s="415">
        <v>206.06800000000004</v>
      </c>
    </row>
    <row r="637" spans="2:4" ht="12" customHeight="1" x14ac:dyDescent="0.25">
      <c r="B637" s="413"/>
      <c r="C637" s="414" t="s">
        <v>1248</v>
      </c>
      <c r="D637" s="415">
        <v>87.256198113207532</v>
      </c>
    </row>
    <row r="638" spans="2:4" ht="12" customHeight="1" x14ac:dyDescent="0.25">
      <c r="B638" s="413"/>
      <c r="C638" s="414" t="s">
        <v>910</v>
      </c>
      <c r="D638" s="415">
        <v>69</v>
      </c>
    </row>
    <row r="639" spans="2:4" ht="12" customHeight="1" x14ac:dyDescent="0.25">
      <c r="B639" s="413"/>
      <c r="C639" s="414" t="s">
        <v>1119</v>
      </c>
      <c r="D639" s="415">
        <v>28326.523168947962</v>
      </c>
    </row>
    <row r="640" spans="2:4" ht="12" customHeight="1" x14ac:dyDescent="0.25">
      <c r="B640" s="413" t="s">
        <v>1247</v>
      </c>
      <c r="C640" s="414" t="s">
        <v>1246</v>
      </c>
      <c r="D640" s="415">
        <v>1.5444339622641508</v>
      </c>
    </row>
    <row r="641" spans="2:4" ht="12" customHeight="1" x14ac:dyDescent="0.25">
      <c r="B641" s="413"/>
      <c r="C641" s="414" t="s">
        <v>1195</v>
      </c>
      <c r="D641" s="415">
        <v>5.0609999999999999</v>
      </c>
    </row>
    <row r="642" spans="2:4" ht="12" customHeight="1" x14ac:dyDescent="0.25">
      <c r="B642" s="413"/>
      <c r="C642" s="414" t="s">
        <v>1248</v>
      </c>
      <c r="D642" s="415">
        <v>0.72</v>
      </c>
    </row>
    <row r="643" spans="2:4" ht="12" customHeight="1" x14ac:dyDescent="0.25">
      <c r="B643" s="413" t="s">
        <v>1249</v>
      </c>
      <c r="C643" s="414" t="s">
        <v>1250</v>
      </c>
      <c r="D643" s="415">
        <v>40.042650943396232</v>
      </c>
    </row>
    <row r="644" spans="2:4" ht="12" customHeight="1" x14ac:dyDescent="0.25">
      <c r="B644" s="413"/>
      <c r="C644" s="414" t="s">
        <v>1251</v>
      </c>
      <c r="D644" s="415">
        <v>750.13761509433994</v>
      </c>
    </row>
    <row r="645" spans="2:4" ht="12" customHeight="1" x14ac:dyDescent="0.25">
      <c r="B645" s="413"/>
      <c r="C645" s="414" t="s">
        <v>1124</v>
      </c>
      <c r="D645" s="415">
        <v>72.087584905660378</v>
      </c>
    </row>
    <row r="646" spans="2:4" ht="12" customHeight="1" x14ac:dyDescent="0.25">
      <c r="B646" s="413" t="s">
        <v>1252</v>
      </c>
      <c r="C646" s="414" t="s">
        <v>1251</v>
      </c>
      <c r="D646" s="415">
        <v>17.122198113207546</v>
      </c>
    </row>
    <row r="647" spans="2:4" ht="12" customHeight="1" x14ac:dyDescent="0.25">
      <c r="B647" s="413"/>
      <c r="C647" s="414" t="s">
        <v>1789</v>
      </c>
      <c r="D647" s="415">
        <v>124.65757075471697</v>
      </c>
    </row>
    <row r="648" spans="2:4" ht="12" customHeight="1" x14ac:dyDescent="0.25">
      <c r="B648" s="413"/>
      <c r="C648" s="414" t="s">
        <v>1790</v>
      </c>
      <c r="D648" s="415">
        <v>40.910498113207545</v>
      </c>
    </row>
    <row r="649" spans="2:4" ht="12" customHeight="1" x14ac:dyDescent="0.25">
      <c r="B649" s="413"/>
      <c r="C649" s="414" t="s">
        <v>1124</v>
      </c>
      <c r="D649" s="415">
        <v>128.8799858490566</v>
      </c>
    </row>
    <row r="650" spans="2:4" ht="12" customHeight="1" x14ac:dyDescent="0.25">
      <c r="B650" s="413"/>
      <c r="C650" s="414" t="s">
        <v>1255</v>
      </c>
      <c r="D650" s="415">
        <v>22.316631132075461</v>
      </c>
    </row>
    <row r="651" spans="2:4" ht="12" customHeight="1" x14ac:dyDescent="0.25">
      <c r="B651" s="413" t="s">
        <v>1256</v>
      </c>
      <c r="C651" s="414" t="s">
        <v>1200</v>
      </c>
      <c r="D651" s="415">
        <v>40.211665094339608</v>
      </c>
    </row>
    <row r="652" spans="2:4" ht="12" customHeight="1" x14ac:dyDescent="0.25">
      <c r="B652" s="413"/>
      <c r="C652" s="414" t="s">
        <v>1791</v>
      </c>
      <c r="D652" s="415">
        <v>0.96499999999999997</v>
      </c>
    </row>
    <row r="653" spans="2:4" ht="12" customHeight="1" x14ac:dyDescent="0.25">
      <c r="B653" s="413"/>
      <c r="C653" s="414" t="s">
        <v>1258</v>
      </c>
      <c r="D653" s="415">
        <v>1.8049999999999999</v>
      </c>
    </row>
    <row r="654" spans="2:4" ht="12" customHeight="1" x14ac:dyDescent="0.25">
      <c r="B654" s="413"/>
      <c r="C654" s="414" t="s">
        <v>1251</v>
      </c>
      <c r="D654" s="415">
        <v>50.161499999999975</v>
      </c>
    </row>
    <row r="655" spans="2:4" ht="12" customHeight="1" x14ac:dyDescent="0.25">
      <c r="B655" s="413" t="s">
        <v>1257</v>
      </c>
      <c r="C655" s="414" t="s">
        <v>1250</v>
      </c>
      <c r="D655" s="415">
        <v>150.57999622641501</v>
      </c>
    </row>
    <row r="656" spans="2:4" ht="12" customHeight="1" x14ac:dyDescent="0.25">
      <c r="B656" s="413"/>
      <c r="C656" s="414" t="s">
        <v>1200</v>
      </c>
      <c r="D656" s="415">
        <v>31.661490566037738</v>
      </c>
    </row>
    <row r="657" spans="2:4" ht="12" customHeight="1" x14ac:dyDescent="0.25">
      <c r="B657" s="413"/>
      <c r="C657" s="414" t="s">
        <v>1251</v>
      </c>
      <c r="D657" s="415">
        <v>617.64043396226373</v>
      </c>
    </row>
    <row r="658" spans="2:4" ht="12" customHeight="1" x14ac:dyDescent="0.25">
      <c r="B658" s="413" t="s">
        <v>1259</v>
      </c>
      <c r="C658" s="414" t="s">
        <v>1260</v>
      </c>
      <c r="D658" s="415">
        <v>46.421613207547175</v>
      </c>
    </row>
    <row r="659" spans="2:4" ht="12" customHeight="1" x14ac:dyDescent="0.25">
      <c r="B659" s="413"/>
      <c r="C659" s="414" t="s">
        <v>1262</v>
      </c>
      <c r="D659" s="415">
        <v>3.4889999999999999</v>
      </c>
    </row>
    <row r="660" spans="2:4" ht="12" customHeight="1" x14ac:dyDescent="0.25">
      <c r="B660" s="413"/>
      <c r="C660" s="414" t="s">
        <v>1229</v>
      </c>
      <c r="D660" s="415">
        <v>196.32832075471703</v>
      </c>
    </row>
    <row r="661" spans="2:4" ht="12" customHeight="1" x14ac:dyDescent="0.25">
      <c r="B661" s="413" t="s">
        <v>1792</v>
      </c>
      <c r="C661" s="414" t="s">
        <v>1793</v>
      </c>
      <c r="D661" s="415">
        <v>4.8770000000000007</v>
      </c>
    </row>
    <row r="662" spans="2:4" ht="12" customHeight="1" x14ac:dyDescent="0.25">
      <c r="B662" s="413" t="s">
        <v>1263</v>
      </c>
      <c r="C662" s="414" t="s">
        <v>1264</v>
      </c>
      <c r="D662" s="415">
        <v>10.545273584905658</v>
      </c>
    </row>
    <row r="663" spans="2:4" ht="12" customHeight="1" x14ac:dyDescent="0.25">
      <c r="B663" s="413" t="s">
        <v>1265</v>
      </c>
      <c r="C663" s="414" t="s">
        <v>866</v>
      </c>
      <c r="D663" s="415">
        <v>11166.973285741757</v>
      </c>
    </row>
    <row r="664" spans="2:4" ht="12" customHeight="1" x14ac:dyDescent="0.25">
      <c r="B664" s="413"/>
      <c r="C664" s="414" t="s">
        <v>867</v>
      </c>
      <c r="D664" s="415">
        <v>370.899</v>
      </c>
    </row>
    <row r="665" spans="2:4" ht="12" customHeight="1" x14ac:dyDescent="0.25">
      <c r="B665" s="413"/>
      <c r="C665" s="414" t="s">
        <v>1213</v>
      </c>
      <c r="D665" s="415">
        <v>4.8159999999999998</v>
      </c>
    </row>
    <row r="666" spans="2:4" ht="12" customHeight="1" x14ac:dyDescent="0.25">
      <c r="B666" s="413"/>
      <c r="C666" s="414" t="s">
        <v>1794</v>
      </c>
      <c r="D666" s="415">
        <v>296.44833018867922</v>
      </c>
    </row>
    <row r="667" spans="2:4" ht="12" customHeight="1" x14ac:dyDescent="0.25">
      <c r="B667" s="413"/>
      <c r="C667" s="414" t="s">
        <v>868</v>
      </c>
      <c r="D667" s="415">
        <v>22766.337478581114</v>
      </c>
    </row>
    <row r="668" spans="2:4" ht="12" customHeight="1" x14ac:dyDescent="0.25">
      <c r="B668" s="413"/>
      <c r="C668" s="414" t="s">
        <v>869</v>
      </c>
      <c r="D668" s="415">
        <v>480.10099999999989</v>
      </c>
    </row>
    <row r="669" spans="2:4" ht="12" customHeight="1" x14ac:dyDescent="0.25">
      <c r="B669" s="413"/>
      <c r="C669" s="414" t="s">
        <v>1795</v>
      </c>
      <c r="D669" s="415">
        <v>31.431000000000004</v>
      </c>
    </row>
    <row r="670" spans="2:4" ht="12" customHeight="1" x14ac:dyDescent="0.25">
      <c r="B670" s="413"/>
      <c r="C670" s="414" t="s">
        <v>1217</v>
      </c>
      <c r="D670" s="415">
        <v>347.86200000000002</v>
      </c>
    </row>
    <row r="671" spans="2:4" ht="12" customHeight="1" x14ac:dyDescent="0.25">
      <c r="B671" s="413" t="s">
        <v>1796</v>
      </c>
      <c r="C671" s="414" t="s">
        <v>868</v>
      </c>
      <c r="D671" s="415">
        <v>1.488</v>
      </c>
    </row>
    <row r="672" spans="2:4" ht="12" customHeight="1" x14ac:dyDescent="0.25">
      <c r="B672" s="413" t="s">
        <v>1797</v>
      </c>
      <c r="C672" s="414" t="s">
        <v>1217</v>
      </c>
      <c r="D672" s="415">
        <v>210.77500000000003</v>
      </c>
    </row>
    <row r="673" spans="2:4" ht="12" customHeight="1" x14ac:dyDescent="0.25">
      <c r="B673" s="413" t="s">
        <v>1267</v>
      </c>
      <c r="C673" s="414" t="s">
        <v>869</v>
      </c>
      <c r="D673" s="415">
        <v>4561.8393962264136</v>
      </c>
    </row>
    <row r="674" spans="2:4" ht="12" customHeight="1" x14ac:dyDescent="0.25">
      <c r="B674" s="413" t="s">
        <v>1798</v>
      </c>
      <c r="C674" s="414" t="s">
        <v>866</v>
      </c>
      <c r="D674" s="415">
        <v>4.1949999999999994</v>
      </c>
    </row>
    <row r="675" spans="2:4" ht="12" customHeight="1" x14ac:dyDescent="0.25">
      <c r="B675" s="413" t="s">
        <v>1268</v>
      </c>
      <c r="C675" s="414" t="s">
        <v>1269</v>
      </c>
      <c r="D675" s="415">
        <v>11.241999999999999</v>
      </c>
    </row>
    <row r="676" spans="2:4" ht="12" customHeight="1" x14ac:dyDescent="0.25">
      <c r="B676" s="413"/>
      <c r="C676" s="414" t="s">
        <v>1799</v>
      </c>
      <c r="D676" s="415">
        <v>38.83</v>
      </c>
    </row>
    <row r="677" spans="2:4" ht="12" customHeight="1" x14ac:dyDescent="0.25">
      <c r="B677" s="413"/>
      <c r="C677" s="414" t="s">
        <v>815</v>
      </c>
      <c r="D677" s="415">
        <v>821.38671603773537</v>
      </c>
    </row>
    <row r="678" spans="2:4" ht="12" customHeight="1" x14ac:dyDescent="0.25">
      <c r="B678" s="413"/>
      <c r="C678" s="414" t="s">
        <v>801</v>
      </c>
      <c r="D678" s="415">
        <v>2145.2347311320759</v>
      </c>
    </row>
    <row r="679" spans="2:4" ht="12" customHeight="1" x14ac:dyDescent="0.25">
      <c r="B679" s="413"/>
      <c r="C679" s="414" t="s">
        <v>1270</v>
      </c>
      <c r="D679" s="415">
        <v>109.96007075471698</v>
      </c>
    </row>
    <row r="680" spans="2:4" ht="12" customHeight="1" x14ac:dyDescent="0.25">
      <c r="B680" s="413"/>
      <c r="C680" s="414" t="s">
        <v>1800</v>
      </c>
      <c r="D680" s="415">
        <v>0.80400000000000005</v>
      </c>
    </row>
    <row r="681" spans="2:4" ht="12" customHeight="1" x14ac:dyDescent="0.25">
      <c r="B681" s="413"/>
      <c r="C681" s="414" t="s">
        <v>1258</v>
      </c>
      <c r="D681" s="415">
        <v>3.3959999999999999</v>
      </c>
    </row>
    <row r="682" spans="2:4" ht="12" customHeight="1" x14ac:dyDescent="0.25">
      <c r="B682" s="413"/>
      <c r="C682" s="414" t="s">
        <v>1271</v>
      </c>
      <c r="D682" s="415">
        <v>1.56</v>
      </c>
    </row>
    <row r="683" spans="2:4" ht="12" customHeight="1" x14ac:dyDescent="0.25">
      <c r="B683" s="413"/>
      <c r="C683" s="414" t="s">
        <v>1801</v>
      </c>
      <c r="D683" s="415">
        <v>28.527999999999999</v>
      </c>
    </row>
    <row r="684" spans="2:4" ht="12" customHeight="1" x14ac:dyDescent="0.25">
      <c r="B684" s="413"/>
      <c r="C684" s="414" t="s">
        <v>1272</v>
      </c>
      <c r="D684" s="415">
        <v>65.975938679245303</v>
      </c>
    </row>
    <row r="685" spans="2:4" ht="12" customHeight="1" x14ac:dyDescent="0.25">
      <c r="B685" s="413"/>
      <c r="C685" s="414" t="s">
        <v>1176</v>
      </c>
      <c r="D685" s="415">
        <v>491.89699999999993</v>
      </c>
    </row>
    <row r="686" spans="2:4" ht="12" customHeight="1" x14ac:dyDescent="0.25">
      <c r="B686" s="413"/>
      <c r="C686" s="414" t="s">
        <v>1273</v>
      </c>
      <c r="D686" s="415">
        <v>89.942999999999998</v>
      </c>
    </row>
    <row r="687" spans="2:4" ht="12" customHeight="1" x14ac:dyDescent="0.25">
      <c r="B687" s="413"/>
      <c r="C687" s="414" t="s">
        <v>1802</v>
      </c>
      <c r="D687" s="415">
        <v>14.936</v>
      </c>
    </row>
    <row r="688" spans="2:4" ht="12" customHeight="1" x14ac:dyDescent="0.25">
      <c r="B688" s="413"/>
      <c r="C688" s="414" t="s">
        <v>1274</v>
      </c>
      <c r="D688" s="415">
        <v>0.72299999999999998</v>
      </c>
    </row>
    <row r="689" spans="2:4" ht="12" customHeight="1" x14ac:dyDescent="0.25">
      <c r="B689" s="413"/>
      <c r="C689" s="414" t="s">
        <v>1275</v>
      </c>
      <c r="D689" s="415">
        <v>23.259</v>
      </c>
    </row>
    <row r="690" spans="2:4" ht="12" customHeight="1" x14ac:dyDescent="0.25">
      <c r="B690" s="413"/>
      <c r="C690" s="414" t="s">
        <v>1276</v>
      </c>
      <c r="D690" s="415">
        <v>25.190999999999995</v>
      </c>
    </row>
    <row r="691" spans="2:4" ht="12" customHeight="1" x14ac:dyDescent="0.25">
      <c r="B691" s="413"/>
      <c r="C691" s="414" t="s">
        <v>1277</v>
      </c>
      <c r="D691" s="415">
        <v>334.02169339622651</v>
      </c>
    </row>
    <row r="692" spans="2:4" ht="12" customHeight="1" x14ac:dyDescent="0.25">
      <c r="B692" s="413"/>
      <c r="C692" s="414" t="s">
        <v>1086</v>
      </c>
      <c r="D692" s="415">
        <v>419.58747132075462</v>
      </c>
    </row>
    <row r="693" spans="2:4" ht="12" customHeight="1" x14ac:dyDescent="0.25">
      <c r="B693" s="413"/>
      <c r="C693" s="414" t="s">
        <v>798</v>
      </c>
      <c r="D693" s="415">
        <v>11.819000000000001</v>
      </c>
    </row>
    <row r="694" spans="2:4" ht="12" customHeight="1" x14ac:dyDescent="0.25">
      <c r="B694" s="413"/>
      <c r="C694" s="414" t="s">
        <v>1291</v>
      </c>
      <c r="D694" s="415">
        <v>23.087000000000003</v>
      </c>
    </row>
    <row r="695" spans="2:4" ht="12" customHeight="1" x14ac:dyDescent="0.25">
      <c r="B695" s="413"/>
      <c r="C695" s="414" t="s">
        <v>1278</v>
      </c>
      <c r="D695" s="415">
        <v>32.947165094339617</v>
      </c>
    </row>
    <row r="696" spans="2:4" ht="12" customHeight="1" x14ac:dyDescent="0.25">
      <c r="B696" s="413"/>
      <c r="C696" s="414" t="s">
        <v>1803</v>
      </c>
      <c r="D696" s="415">
        <v>21.957000000000001</v>
      </c>
    </row>
    <row r="697" spans="2:4" ht="12" customHeight="1" x14ac:dyDescent="0.25">
      <c r="B697" s="413"/>
      <c r="C697" s="414" t="s">
        <v>1804</v>
      </c>
      <c r="D697" s="415">
        <v>8.1030000000000015</v>
      </c>
    </row>
    <row r="698" spans="2:4" ht="12" customHeight="1" x14ac:dyDescent="0.25">
      <c r="B698" s="413"/>
      <c r="C698" s="414" t="s">
        <v>799</v>
      </c>
      <c r="D698" s="415">
        <v>21.383844339622641</v>
      </c>
    </row>
    <row r="699" spans="2:4" ht="12" customHeight="1" x14ac:dyDescent="0.25">
      <c r="B699" s="413"/>
      <c r="C699" s="414" t="s">
        <v>1532</v>
      </c>
      <c r="D699" s="415">
        <v>289.21899999999994</v>
      </c>
    </row>
    <row r="700" spans="2:4" ht="12" customHeight="1" x14ac:dyDescent="0.25">
      <c r="B700" s="413"/>
      <c r="C700" s="414" t="s">
        <v>934</v>
      </c>
      <c r="D700" s="415">
        <v>440.50799999999987</v>
      </c>
    </row>
    <row r="701" spans="2:4" ht="12" customHeight="1" x14ac:dyDescent="0.25">
      <c r="B701" s="413"/>
      <c r="C701" s="414" t="s">
        <v>1279</v>
      </c>
      <c r="D701" s="415">
        <v>32.707000000000001</v>
      </c>
    </row>
    <row r="702" spans="2:4" ht="12" customHeight="1" x14ac:dyDescent="0.25">
      <c r="B702" s="413"/>
      <c r="C702" s="414" t="s">
        <v>1280</v>
      </c>
      <c r="D702" s="415">
        <v>224.05599999999995</v>
      </c>
    </row>
    <row r="703" spans="2:4" ht="12" customHeight="1" x14ac:dyDescent="0.25">
      <c r="B703" s="413" t="s">
        <v>1805</v>
      </c>
      <c r="C703" s="414" t="s">
        <v>1306</v>
      </c>
      <c r="D703" s="415">
        <v>5.2330000000000005</v>
      </c>
    </row>
    <row r="704" spans="2:4" ht="12" customHeight="1" x14ac:dyDescent="0.25">
      <c r="B704" s="413" t="s">
        <v>1281</v>
      </c>
      <c r="C704" s="414" t="s">
        <v>1261</v>
      </c>
      <c r="D704" s="415">
        <v>992.430094339623</v>
      </c>
    </row>
    <row r="705" spans="2:4" ht="12" customHeight="1" x14ac:dyDescent="0.25">
      <c r="B705" s="413" t="s">
        <v>1282</v>
      </c>
      <c r="C705" s="414" t="s">
        <v>801</v>
      </c>
      <c r="D705" s="415">
        <v>3.9460000000000002</v>
      </c>
    </row>
    <row r="706" spans="2:4" ht="12" customHeight="1" x14ac:dyDescent="0.25">
      <c r="B706" s="413"/>
      <c r="C706" s="414" t="s">
        <v>1283</v>
      </c>
      <c r="D706" s="415">
        <v>19.554514150943401</v>
      </c>
    </row>
    <row r="707" spans="2:4" ht="12" customHeight="1" x14ac:dyDescent="0.25">
      <c r="B707" s="413"/>
      <c r="C707" s="414" t="s">
        <v>1284</v>
      </c>
      <c r="D707" s="415">
        <v>12.45634433962263</v>
      </c>
    </row>
    <row r="708" spans="2:4" ht="12" customHeight="1" x14ac:dyDescent="0.25">
      <c r="B708" s="413"/>
      <c r="C708" s="414" t="s">
        <v>798</v>
      </c>
      <c r="D708" s="415">
        <v>132.07</v>
      </c>
    </row>
    <row r="709" spans="2:4" ht="12" customHeight="1" x14ac:dyDescent="0.25">
      <c r="B709" s="413"/>
      <c r="C709" s="414" t="s">
        <v>799</v>
      </c>
      <c r="D709" s="415">
        <v>3.2406132075471694</v>
      </c>
    </row>
    <row r="710" spans="2:4" ht="12" customHeight="1" x14ac:dyDescent="0.25">
      <c r="B710" s="413" t="s">
        <v>1285</v>
      </c>
      <c r="C710" s="414" t="s">
        <v>799</v>
      </c>
      <c r="D710" s="415">
        <v>5.266</v>
      </c>
    </row>
    <row r="711" spans="2:4" ht="12" customHeight="1" x14ac:dyDescent="0.25">
      <c r="B711" s="413" t="s">
        <v>1286</v>
      </c>
      <c r="C711" s="414" t="s">
        <v>815</v>
      </c>
      <c r="D711" s="415">
        <v>282.38981849056614</v>
      </c>
    </row>
    <row r="712" spans="2:4" ht="12" customHeight="1" x14ac:dyDescent="0.25">
      <c r="B712" s="413"/>
      <c r="C712" s="414" t="s">
        <v>1287</v>
      </c>
      <c r="D712" s="415">
        <v>1.1171462264150953</v>
      </c>
    </row>
    <row r="713" spans="2:4" ht="12" customHeight="1" x14ac:dyDescent="0.25">
      <c r="B713" s="413"/>
      <c r="C713" s="414" t="s">
        <v>817</v>
      </c>
      <c r="D713" s="415">
        <v>10.298900943396225</v>
      </c>
    </row>
    <row r="714" spans="2:4" ht="12" customHeight="1" x14ac:dyDescent="0.25">
      <c r="B714" s="413"/>
      <c r="C714" s="414" t="s">
        <v>1270</v>
      </c>
      <c r="D714" s="415">
        <v>519.42625000000078</v>
      </c>
    </row>
    <row r="715" spans="2:4" ht="12" customHeight="1" x14ac:dyDescent="0.25">
      <c r="B715" s="413"/>
      <c r="C715" s="414" t="s">
        <v>1272</v>
      </c>
      <c r="D715" s="415">
        <v>33.052916666666661</v>
      </c>
    </row>
    <row r="716" spans="2:4" ht="12" customHeight="1" x14ac:dyDescent="0.25">
      <c r="B716" s="413"/>
      <c r="C716" s="414" t="s">
        <v>1176</v>
      </c>
      <c r="D716" s="415">
        <v>65.037000000000006</v>
      </c>
    </row>
    <row r="717" spans="2:4" ht="12" customHeight="1" x14ac:dyDescent="0.25">
      <c r="B717" s="413"/>
      <c r="C717" s="414" t="s">
        <v>1288</v>
      </c>
      <c r="D717" s="415">
        <v>27.278556603773588</v>
      </c>
    </row>
    <row r="718" spans="2:4" ht="12" customHeight="1" x14ac:dyDescent="0.25">
      <c r="B718" s="413"/>
      <c r="C718" s="414" t="s">
        <v>1273</v>
      </c>
      <c r="D718" s="415">
        <v>0.70872641509433998</v>
      </c>
    </row>
    <row r="719" spans="2:4" ht="12" customHeight="1" x14ac:dyDescent="0.25">
      <c r="B719" s="413"/>
      <c r="C719" s="414" t="s">
        <v>1802</v>
      </c>
      <c r="D719" s="415">
        <v>6.0679999999999996</v>
      </c>
    </row>
    <row r="720" spans="2:4" ht="12" customHeight="1" x14ac:dyDescent="0.25">
      <c r="B720" s="413"/>
      <c r="C720" s="414" t="s">
        <v>1277</v>
      </c>
      <c r="D720" s="415">
        <v>7.4329999999999998</v>
      </c>
    </row>
    <row r="721" spans="2:4" ht="12" customHeight="1" x14ac:dyDescent="0.25">
      <c r="B721" s="413"/>
      <c r="C721" s="414" t="s">
        <v>1086</v>
      </c>
      <c r="D721" s="415">
        <v>40.273212264150935</v>
      </c>
    </row>
    <row r="722" spans="2:4" ht="12" customHeight="1" x14ac:dyDescent="0.25">
      <c r="B722" s="413"/>
      <c r="C722" s="414" t="s">
        <v>1290</v>
      </c>
      <c r="D722" s="415">
        <v>24.637438679245285</v>
      </c>
    </row>
    <row r="723" spans="2:4" ht="15.75" customHeight="1" x14ac:dyDescent="0.25">
      <c r="B723" s="413"/>
      <c r="C723" s="414" t="s">
        <v>820</v>
      </c>
      <c r="D723" s="415">
        <v>1.8240000000000001</v>
      </c>
    </row>
    <row r="724" spans="2:4" ht="15.75" customHeight="1" x14ac:dyDescent="0.25">
      <c r="B724" s="413"/>
      <c r="C724" s="414" t="s">
        <v>798</v>
      </c>
      <c r="D724" s="415">
        <v>4.2699999999999996</v>
      </c>
    </row>
    <row r="725" spans="2:4" ht="15.75" customHeight="1" x14ac:dyDescent="0.25">
      <c r="B725" s="413"/>
      <c r="C725" s="414" t="s">
        <v>1291</v>
      </c>
      <c r="D725" s="415">
        <v>4.7825471698113189</v>
      </c>
    </row>
    <row r="726" spans="2:4" ht="15.75" customHeight="1" x14ac:dyDescent="0.25">
      <c r="B726" s="413" t="s">
        <v>1293</v>
      </c>
      <c r="C726" s="414" t="s">
        <v>815</v>
      </c>
      <c r="D726" s="415">
        <v>21.769750000000005</v>
      </c>
    </row>
    <row r="727" spans="2:4" ht="15.75" customHeight="1" x14ac:dyDescent="0.25">
      <c r="B727" s="413"/>
      <c r="C727" s="414" t="s">
        <v>818</v>
      </c>
      <c r="D727" s="415">
        <v>13.917127358490561</v>
      </c>
    </row>
    <row r="728" spans="2:4" ht="15.75" customHeight="1" x14ac:dyDescent="0.25">
      <c r="B728" s="413"/>
      <c r="C728" s="414" t="s">
        <v>819</v>
      </c>
      <c r="D728" s="415">
        <v>31.331636792452812</v>
      </c>
    </row>
    <row r="729" spans="2:4" ht="15.75" customHeight="1" x14ac:dyDescent="0.25">
      <c r="B729" s="413" t="s">
        <v>1294</v>
      </c>
      <c r="C729" s="414" t="s">
        <v>1295</v>
      </c>
      <c r="D729" s="415">
        <v>8.8882452830188576</v>
      </c>
    </row>
    <row r="730" spans="2:4" ht="15.75" customHeight="1" x14ac:dyDescent="0.25">
      <c r="B730" s="413"/>
      <c r="C730" s="414" t="s">
        <v>1272</v>
      </c>
      <c r="D730" s="415">
        <v>165.68800000000002</v>
      </c>
    </row>
    <row r="731" spans="2:4" ht="15.75" customHeight="1" x14ac:dyDescent="0.25">
      <c r="B731" s="413"/>
      <c r="C731" s="414" t="s">
        <v>1277</v>
      </c>
      <c r="D731" s="415">
        <v>9.8611981132075499</v>
      </c>
    </row>
    <row r="732" spans="2:4" ht="15.75" customHeight="1" x14ac:dyDescent="0.25">
      <c r="B732" s="413"/>
      <c r="C732" s="414" t="s">
        <v>1278</v>
      </c>
      <c r="D732" s="415">
        <v>16.897047169811316</v>
      </c>
    </row>
    <row r="733" spans="2:4" ht="15.75" customHeight="1" x14ac:dyDescent="0.25">
      <c r="B733" s="413"/>
      <c r="C733" s="414" t="s">
        <v>1296</v>
      </c>
      <c r="D733" s="415">
        <v>6.7446698113207546</v>
      </c>
    </row>
    <row r="734" spans="2:4" ht="15.75" customHeight="1" x14ac:dyDescent="0.25">
      <c r="B734" s="413"/>
      <c r="C734" s="414" t="s">
        <v>1297</v>
      </c>
      <c r="D734" s="415">
        <v>30.199433962264152</v>
      </c>
    </row>
    <row r="735" spans="2:4" ht="15.75" customHeight="1" x14ac:dyDescent="0.25">
      <c r="B735" s="413" t="s">
        <v>1299</v>
      </c>
      <c r="C735" s="414" t="s">
        <v>1300</v>
      </c>
      <c r="D735" s="415">
        <v>14.725452830188679</v>
      </c>
    </row>
    <row r="736" spans="2:4" ht="15.75" customHeight="1" x14ac:dyDescent="0.25">
      <c r="B736" s="413"/>
      <c r="C736" s="414" t="s">
        <v>798</v>
      </c>
      <c r="D736" s="415">
        <v>16.900004716981133</v>
      </c>
    </row>
    <row r="737" spans="2:4" ht="15.75" customHeight="1" x14ac:dyDescent="0.25">
      <c r="B737" s="413" t="s">
        <v>1301</v>
      </c>
      <c r="C737" s="414" t="s">
        <v>1302</v>
      </c>
      <c r="D737" s="415">
        <v>6.9904245283018858</v>
      </c>
    </row>
    <row r="738" spans="2:4" ht="15.75" customHeight="1" x14ac:dyDescent="0.25">
      <c r="B738" s="413" t="s">
        <v>1303</v>
      </c>
      <c r="C738" s="414" t="s">
        <v>1304</v>
      </c>
      <c r="D738" s="415">
        <v>2.0519622641509452</v>
      </c>
    </row>
    <row r="739" spans="2:4" ht="15.75" customHeight="1" x14ac:dyDescent="0.25">
      <c r="B739" s="413"/>
      <c r="C739" s="414" t="s">
        <v>798</v>
      </c>
      <c r="D739" s="415">
        <v>10.63486320754717</v>
      </c>
    </row>
    <row r="740" spans="2:4" ht="15.75" customHeight="1" x14ac:dyDescent="0.25">
      <c r="B740" s="413" t="s">
        <v>1305</v>
      </c>
      <c r="C740" s="414" t="s">
        <v>1306</v>
      </c>
      <c r="D740" s="415">
        <v>7.8584669811320742</v>
      </c>
    </row>
    <row r="741" spans="2:4" ht="15.75" customHeight="1" x14ac:dyDescent="0.25">
      <c r="B741" s="413" t="s">
        <v>1307</v>
      </c>
      <c r="C741" s="414" t="s">
        <v>1308</v>
      </c>
      <c r="D741" s="415">
        <v>46.058665094339581</v>
      </c>
    </row>
    <row r="742" spans="2:4" ht="15.75" customHeight="1" x14ac:dyDescent="0.25">
      <c r="B742" s="413" t="s">
        <v>1309</v>
      </c>
      <c r="C742" s="414" t="s">
        <v>1272</v>
      </c>
      <c r="D742" s="415">
        <v>19.557051886792454</v>
      </c>
    </row>
    <row r="743" spans="2:4" ht="15.75" customHeight="1" x14ac:dyDescent="0.25">
      <c r="B743" s="413"/>
      <c r="C743" s="414" t="s">
        <v>1274</v>
      </c>
      <c r="D743" s="415">
        <v>39.182010000000005</v>
      </c>
    </row>
    <row r="744" spans="2:4" ht="15.75" customHeight="1" x14ac:dyDescent="0.25">
      <c r="B744" s="413"/>
      <c r="C744" s="414" t="s">
        <v>1277</v>
      </c>
      <c r="D744" s="415">
        <v>107.77467452830189</v>
      </c>
    </row>
    <row r="745" spans="2:4" ht="15.75" customHeight="1" x14ac:dyDescent="0.25">
      <c r="B745" s="413"/>
      <c r="C745" s="414" t="s">
        <v>1086</v>
      </c>
      <c r="D745" s="415">
        <v>283.49533522012553</v>
      </c>
    </row>
    <row r="746" spans="2:4" ht="15.75" customHeight="1" x14ac:dyDescent="0.25">
      <c r="B746" s="413"/>
      <c r="C746" s="414" t="s">
        <v>820</v>
      </c>
      <c r="D746" s="415">
        <v>23.678999999999998</v>
      </c>
    </row>
    <row r="747" spans="2:4" ht="15.75" customHeight="1" x14ac:dyDescent="0.25">
      <c r="B747" s="413"/>
      <c r="C747" s="414" t="s">
        <v>1278</v>
      </c>
      <c r="D747" s="415">
        <v>263.12785849056598</v>
      </c>
    </row>
    <row r="748" spans="2:4" ht="15.75" customHeight="1" x14ac:dyDescent="0.25">
      <c r="B748" s="413"/>
      <c r="C748" s="414" t="s">
        <v>1310</v>
      </c>
      <c r="D748" s="415">
        <v>4.9522075471698122</v>
      </c>
    </row>
    <row r="749" spans="2:4" ht="15.75" customHeight="1" x14ac:dyDescent="0.25">
      <c r="B749" s="413"/>
      <c r="C749" s="414" t="s">
        <v>1302</v>
      </c>
      <c r="D749" s="415">
        <v>433.48206603773605</v>
      </c>
    </row>
    <row r="750" spans="2:4" ht="15.75" customHeight="1" x14ac:dyDescent="0.25">
      <c r="B750" s="413"/>
      <c r="C750" s="414" t="s">
        <v>1181</v>
      </c>
      <c r="D750" s="415">
        <v>69.062735062893083</v>
      </c>
    </row>
    <row r="751" spans="2:4" ht="15.75" customHeight="1" x14ac:dyDescent="0.25">
      <c r="B751" s="413"/>
      <c r="C751" s="414" t="s">
        <v>1530</v>
      </c>
      <c r="D751" s="415">
        <v>46.413000000000004</v>
      </c>
    </row>
    <row r="752" spans="2:4" ht="15.75" customHeight="1" x14ac:dyDescent="0.25">
      <c r="B752" s="413" t="s">
        <v>1311</v>
      </c>
      <c r="C752" s="414" t="s">
        <v>1280</v>
      </c>
      <c r="D752" s="415">
        <v>8.7490047169811298</v>
      </c>
    </row>
    <row r="753" spans="2:5" ht="15.75" customHeight="1" x14ac:dyDescent="0.25">
      <c r="B753" s="413" t="s">
        <v>1312</v>
      </c>
      <c r="C753" s="414" t="s">
        <v>1314</v>
      </c>
      <c r="D753" s="415">
        <v>34.188735849056613</v>
      </c>
    </row>
    <row r="754" spans="2:5" ht="15.75" customHeight="1" x14ac:dyDescent="0.25">
      <c r="B754" s="413" t="s">
        <v>1315</v>
      </c>
      <c r="C754" s="414" t="s">
        <v>1300</v>
      </c>
      <c r="D754" s="415">
        <v>53.554249999999996</v>
      </c>
    </row>
    <row r="755" spans="2:5" ht="15.75" customHeight="1" x14ac:dyDescent="0.25">
      <c r="B755" s="413"/>
      <c r="C755" s="414" t="s">
        <v>1275</v>
      </c>
      <c r="D755" s="415">
        <v>1.7229999999999999</v>
      </c>
    </row>
    <row r="756" spans="2:5" ht="15.75" customHeight="1" x14ac:dyDescent="0.25">
      <c r="B756" s="413"/>
      <c r="C756" s="414" t="s">
        <v>1306</v>
      </c>
      <c r="D756" s="415">
        <v>21.853207547169809</v>
      </c>
    </row>
    <row r="757" spans="2:5" ht="15.75" customHeight="1" x14ac:dyDescent="0.25">
      <c r="B757" s="413"/>
      <c r="C757" s="414" t="s">
        <v>1291</v>
      </c>
      <c r="D757" s="415">
        <v>1258.5367570754729</v>
      </c>
    </row>
    <row r="758" spans="2:5" ht="15.75" customHeight="1" x14ac:dyDescent="0.25">
      <c r="B758" s="413" t="s">
        <v>1806</v>
      </c>
      <c r="C758" s="414" t="s">
        <v>934</v>
      </c>
      <c r="D758" s="415">
        <v>7.21</v>
      </c>
    </row>
    <row r="759" spans="2:5" ht="15.75" customHeight="1" x14ac:dyDescent="0.25">
      <c r="B759" s="413" t="s">
        <v>1807</v>
      </c>
      <c r="C759" s="414" t="s">
        <v>1064</v>
      </c>
      <c r="D759" s="415">
        <v>4.7780000000000005</v>
      </c>
    </row>
    <row r="760" spans="2:5" ht="15.75" customHeight="1" x14ac:dyDescent="0.25">
      <c r="B760" s="413" t="s">
        <v>1320</v>
      </c>
      <c r="C760" s="414" t="s">
        <v>1321</v>
      </c>
      <c r="D760" s="415">
        <v>457.82660220125808</v>
      </c>
    </row>
    <row r="761" spans="2:5" ht="15.75" customHeight="1" x14ac:dyDescent="0.25">
      <c r="B761" s="413"/>
      <c r="C761" s="414" t="s">
        <v>1808</v>
      </c>
      <c r="D761" s="415">
        <v>19.497</v>
      </c>
      <c r="E761" s="92"/>
    </row>
    <row r="762" spans="2:5" ht="15.75" customHeight="1" x14ac:dyDescent="0.25">
      <c r="B762" s="413" t="s">
        <v>1322</v>
      </c>
      <c r="C762" s="414" t="s">
        <v>1323</v>
      </c>
      <c r="D762" s="415">
        <v>191.08708490566036</v>
      </c>
    </row>
    <row r="763" spans="2:5" ht="15.75" customHeight="1" x14ac:dyDescent="0.25">
      <c r="B763" s="413"/>
      <c r="C763" s="414" t="s">
        <v>986</v>
      </c>
      <c r="D763" s="415">
        <v>47.680000000000007</v>
      </c>
    </row>
    <row r="764" spans="2:5" ht="15.75" customHeight="1" x14ac:dyDescent="0.25">
      <c r="B764" s="413"/>
      <c r="C764" s="414" t="s">
        <v>1321</v>
      </c>
      <c r="D764" s="415">
        <v>19.043999999999997</v>
      </c>
    </row>
    <row r="765" spans="2:5" ht="15.75" customHeight="1" x14ac:dyDescent="0.25">
      <c r="B765" s="413"/>
      <c r="C765" s="414" t="s">
        <v>1324</v>
      </c>
      <c r="D765" s="415">
        <v>71.753105792452814</v>
      </c>
    </row>
    <row r="766" spans="2:5" ht="15.75" customHeight="1" x14ac:dyDescent="0.25">
      <c r="B766" s="413"/>
      <c r="C766" s="414" t="s">
        <v>1325</v>
      </c>
      <c r="D766" s="415">
        <v>152.98809654088049</v>
      </c>
    </row>
    <row r="767" spans="2:5" ht="15.75" customHeight="1" x14ac:dyDescent="0.25">
      <c r="B767" s="413"/>
      <c r="C767" s="414" t="s">
        <v>1327</v>
      </c>
      <c r="D767" s="415">
        <v>220.25480503144655</v>
      </c>
    </row>
    <row r="768" spans="2:5" ht="15.75" customHeight="1" x14ac:dyDescent="0.25">
      <c r="B768" s="413" t="s">
        <v>1328</v>
      </c>
      <c r="C768" s="414" t="s">
        <v>1321</v>
      </c>
      <c r="D768" s="415">
        <v>2722.6983238748462</v>
      </c>
    </row>
    <row r="769" spans="2:4" ht="15.75" customHeight="1" x14ac:dyDescent="0.25">
      <c r="B769" s="413" t="s">
        <v>1809</v>
      </c>
      <c r="C769" s="414" t="s">
        <v>859</v>
      </c>
      <c r="D769" s="415">
        <v>43.143000000000001</v>
      </c>
    </row>
    <row r="770" spans="2:4" ht="15.75" customHeight="1" x14ac:dyDescent="0.25">
      <c r="B770" s="413"/>
      <c r="C770" s="414" t="s">
        <v>1321</v>
      </c>
      <c r="D770" s="415">
        <v>2.91</v>
      </c>
    </row>
    <row r="771" spans="2:4" ht="15.75" customHeight="1" x14ac:dyDescent="0.25">
      <c r="B771" s="413" t="s">
        <v>1329</v>
      </c>
      <c r="C771" s="414" t="s">
        <v>1330</v>
      </c>
      <c r="D771" s="415">
        <v>242.22899999999998</v>
      </c>
    </row>
    <row r="772" spans="2:4" ht="15.75" customHeight="1" x14ac:dyDescent="0.25">
      <c r="B772" s="413"/>
      <c r="C772" s="414" t="s">
        <v>1331</v>
      </c>
      <c r="D772" s="415">
        <v>108.105</v>
      </c>
    </row>
    <row r="773" spans="2:4" ht="15.75" customHeight="1" x14ac:dyDescent="0.25">
      <c r="B773" s="413"/>
      <c r="C773" s="414" t="s">
        <v>1057</v>
      </c>
      <c r="D773" s="415">
        <v>57.73299999999999</v>
      </c>
    </row>
    <row r="774" spans="2:4" ht="15.75" customHeight="1" x14ac:dyDescent="0.25">
      <c r="B774" s="413"/>
      <c r="C774" s="414" t="s">
        <v>1810</v>
      </c>
      <c r="D774" s="415">
        <v>4.2140000000000004</v>
      </c>
    </row>
    <row r="775" spans="2:4" ht="15.75" customHeight="1" x14ac:dyDescent="0.25">
      <c r="B775" s="413" t="s">
        <v>1332</v>
      </c>
      <c r="C775" s="414" t="s">
        <v>1811</v>
      </c>
      <c r="D775" s="415">
        <v>9.9599999999999991</v>
      </c>
    </row>
    <row r="776" spans="2:4" ht="15.75" customHeight="1" x14ac:dyDescent="0.25">
      <c r="B776" s="413"/>
      <c r="C776" s="414" t="s">
        <v>1258</v>
      </c>
      <c r="D776" s="415">
        <v>1664.5698757192388</v>
      </c>
    </row>
    <row r="777" spans="2:4" ht="15.75" customHeight="1" x14ac:dyDescent="0.25">
      <c r="B777" s="413"/>
      <c r="C777" s="414" t="s">
        <v>893</v>
      </c>
      <c r="D777" s="415">
        <v>2.0699999999999998</v>
      </c>
    </row>
    <row r="778" spans="2:4" ht="15.75" customHeight="1" x14ac:dyDescent="0.25">
      <c r="B778" s="413" t="s">
        <v>1333</v>
      </c>
      <c r="C778" s="414" t="s">
        <v>1812</v>
      </c>
      <c r="D778" s="415">
        <v>165.72999999999996</v>
      </c>
    </row>
    <row r="779" spans="2:4" ht="15.75" customHeight="1" x14ac:dyDescent="0.25">
      <c r="B779" s="413"/>
      <c r="C779" s="414" t="s">
        <v>1335</v>
      </c>
      <c r="D779" s="415">
        <v>324.34099999999995</v>
      </c>
    </row>
    <row r="780" spans="2:4" ht="15.75" customHeight="1" x14ac:dyDescent="0.25">
      <c r="B780" s="413"/>
      <c r="C780" s="414" t="s">
        <v>1258</v>
      </c>
      <c r="D780" s="415">
        <v>11.08</v>
      </c>
    </row>
    <row r="781" spans="2:4" ht="15.75" customHeight="1" x14ac:dyDescent="0.25">
      <c r="B781" s="413"/>
      <c r="C781" s="414" t="s">
        <v>1336</v>
      </c>
      <c r="D781" s="415">
        <v>4.2939999999999996</v>
      </c>
    </row>
    <row r="782" spans="2:4" ht="15.75" customHeight="1" x14ac:dyDescent="0.25">
      <c r="B782" s="413" t="s">
        <v>1813</v>
      </c>
      <c r="C782" s="414" t="s">
        <v>1075</v>
      </c>
      <c r="D782" s="415">
        <v>2.59</v>
      </c>
    </row>
    <row r="783" spans="2:4" ht="15.75" customHeight="1" x14ac:dyDescent="0.25">
      <c r="B783" s="413"/>
      <c r="C783" s="414" t="s">
        <v>982</v>
      </c>
      <c r="D783" s="415">
        <v>21.765000000000001</v>
      </c>
    </row>
    <row r="784" spans="2:4" ht="15.75" customHeight="1" x14ac:dyDescent="0.25">
      <c r="B784" s="413" t="s">
        <v>1337</v>
      </c>
      <c r="C784" s="414" t="s">
        <v>1339</v>
      </c>
      <c r="D784" s="415">
        <v>3.2960000000000003</v>
      </c>
    </row>
    <row r="785" spans="2:4" ht="15.75" customHeight="1" x14ac:dyDescent="0.25">
      <c r="B785" s="413"/>
      <c r="C785" s="414" t="s">
        <v>1167</v>
      </c>
      <c r="D785" s="415">
        <v>50.478287735849008</v>
      </c>
    </row>
    <row r="786" spans="2:4" ht="15.75" customHeight="1" x14ac:dyDescent="0.25">
      <c r="B786" s="413"/>
      <c r="C786" s="414" t="s">
        <v>1340</v>
      </c>
      <c r="D786" s="415">
        <v>0.23724056603773702</v>
      </c>
    </row>
    <row r="787" spans="2:4" ht="15.75" customHeight="1" x14ac:dyDescent="0.25">
      <c r="B787" s="413" t="s">
        <v>1341</v>
      </c>
      <c r="C787" s="414" t="s">
        <v>1814</v>
      </c>
      <c r="D787" s="415">
        <v>0.42899999999999999</v>
      </c>
    </row>
    <row r="788" spans="2:4" ht="15.75" customHeight="1" x14ac:dyDescent="0.25">
      <c r="B788" s="413"/>
      <c r="C788" s="414" t="s">
        <v>1167</v>
      </c>
      <c r="D788" s="415">
        <v>47.582341194968571</v>
      </c>
    </row>
    <row r="789" spans="2:4" ht="15.75" customHeight="1" x14ac:dyDescent="0.25">
      <c r="B789" s="413"/>
      <c r="C789" s="414" t="s">
        <v>803</v>
      </c>
      <c r="D789" s="415">
        <v>0.15</v>
      </c>
    </row>
    <row r="790" spans="2:4" ht="15.75" customHeight="1" x14ac:dyDescent="0.25">
      <c r="B790" s="413" t="s">
        <v>1342</v>
      </c>
      <c r="C790" s="414" t="s">
        <v>1338</v>
      </c>
      <c r="D790" s="415">
        <v>14.470160377358496</v>
      </c>
    </row>
    <row r="791" spans="2:4" ht="15.75" customHeight="1" x14ac:dyDescent="0.25">
      <c r="B791" s="413"/>
      <c r="C791" s="414" t="s">
        <v>1167</v>
      </c>
      <c r="D791" s="415">
        <v>25.062999999999999</v>
      </c>
    </row>
    <row r="792" spans="2:4" ht="15.75" customHeight="1" x14ac:dyDescent="0.25">
      <c r="B792" s="413"/>
      <c r="C792" s="414" t="s">
        <v>1340</v>
      </c>
      <c r="D792" s="415">
        <v>45.158611635220126</v>
      </c>
    </row>
    <row r="793" spans="2:4" ht="15.75" customHeight="1" x14ac:dyDescent="0.25">
      <c r="B793" s="413"/>
      <c r="C793" s="414" t="s">
        <v>1343</v>
      </c>
      <c r="D793" s="415">
        <v>9.6340000000000003</v>
      </c>
    </row>
    <row r="794" spans="2:4" ht="15.75" customHeight="1" x14ac:dyDescent="0.25">
      <c r="B794" s="413"/>
      <c r="C794" s="414" t="s">
        <v>982</v>
      </c>
      <c r="D794" s="415">
        <v>52.473518867924518</v>
      </c>
    </row>
    <row r="795" spans="2:4" ht="15.75" customHeight="1" x14ac:dyDescent="0.25">
      <c r="B795" s="413" t="s">
        <v>1815</v>
      </c>
      <c r="C795" s="414" t="s">
        <v>982</v>
      </c>
      <c r="D795" s="415">
        <v>2.1320000000000001</v>
      </c>
    </row>
    <row r="796" spans="2:4" ht="15.75" customHeight="1" x14ac:dyDescent="0.25">
      <c r="B796" s="413" t="s">
        <v>1344</v>
      </c>
      <c r="C796" s="414" t="s">
        <v>1075</v>
      </c>
      <c r="D796" s="415">
        <v>2.653</v>
      </c>
    </row>
    <row r="797" spans="2:4" ht="15.75" customHeight="1" x14ac:dyDescent="0.25">
      <c r="B797" s="413"/>
      <c r="C797" s="414" t="s">
        <v>1167</v>
      </c>
      <c r="D797" s="415">
        <v>0.27900000000000003</v>
      </c>
    </row>
    <row r="798" spans="2:4" ht="15.75" customHeight="1" x14ac:dyDescent="0.25">
      <c r="B798" s="413" t="s">
        <v>1345</v>
      </c>
      <c r="C798" s="414" t="s">
        <v>1167</v>
      </c>
      <c r="D798" s="415">
        <v>25.186099056603762</v>
      </c>
    </row>
    <row r="799" spans="2:4" ht="15.75" customHeight="1" x14ac:dyDescent="0.25">
      <c r="B799" s="413" t="s">
        <v>1346</v>
      </c>
      <c r="C799" s="414" t="s">
        <v>1347</v>
      </c>
      <c r="D799" s="415">
        <v>2.3679999999999999</v>
      </c>
    </row>
    <row r="800" spans="2:4" ht="15.75" customHeight="1" x14ac:dyDescent="0.25">
      <c r="B800" s="413"/>
      <c r="C800" s="414" t="s">
        <v>1052</v>
      </c>
      <c r="D800" s="415">
        <v>14.765999999999998</v>
      </c>
    </row>
    <row r="801" spans="2:4" ht="15.75" customHeight="1" x14ac:dyDescent="0.25">
      <c r="B801" s="413" t="s">
        <v>1348</v>
      </c>
      <c r="C801" s="414" t="s">
        <v>1231</v>
      </c>
      <c r="D801" s="415">
        <v>282.17699999999996</v>
      </c>
    </row>
    <row r="802" spans="2:4" ht="15.75" customHeight="1" x14ac:dyDescent="0.25">
      <c r="B802" s="413"/>
      <c r="C802" s="414" t="s">
        <v>1248</v>
      </c>
      <c r="D802" s="415">
        <v>2247.1654905660398</v>
      </c>
    </row>
    <row r="803" spans="2:4" ht="15.75" customHeight="1" x14ac:dyDescent="0.25">
      <c r="B803" s="413"/>
      <c r="C803" s="414" t="s">
        <v>1349</v>
      </c>
      <c r="D803" s="415">
        <v>410.12472169811366</v>
      </c>
    </row>
    <row r="804" spans="2:4" ht="15.75" customHeight="1" x14ac:dyDescent="0.25">
      <c r="B804" s="413"/>
      <c r="C804" s="414" t="s">
        <v>1816</v>
      </c>
      <c r="D804" s="415">
        <v>7.5679999999999996</v>
      </c>
    </row>
    <row r="805" spans="2:4" ht="15.75" customHeight="1" x14ac:dyDescent="0.25">
      <c r="B805" s="413"/>
      <c r="C805" s="414" t="s">
        <v>1012</v>
      </c>
      <c r="D805" s="415">
        <v>371.66761320754722</v>
      </c>
    </row>
    <row r="806" spans="2:4" ht="15.75" customHeight="1" x14ac:dyDescent="0.25">
      <c r="B806" s="413" t="s">
        <v>1351</v>
      </c>
      <c r="C806" s="414" t="s">
        <v>1352</v>
      </c>
      <c r="D806" s="415">
        <v>17.017099056603779</v>
      </c>
    </row>
    <row r="807" spans="2:4" ht="15.75" customHeight="1" x14ac:dyDescent="0.25">
      <c r="B807" s="413"/>
      <c r="C807" s="414" t="s">
        <v>1353</v>
      </c>
      <c r="D807" s="415">
        <v>7.7931084905660386</v>
      </c>
    </row>
    <row r="808" spans="2:4" ht="15.75" customHeight="1" x14ac:dyDescent="0.25">
      <c r="B808" s="413"/>
      <c r="C808" s="414" t="s">
        <v>1354</v>
      </c>
      <c r="D808" s="415">
        <v>87.296100314465377</v>
      </c>
    </row>
    <row r="809" spans="2:4" ht="15.75" customHeight="1" x14ac:dyDescent="0.25">
      <c r="B809" s="413" t="s">
        <v>1817</v>
      </c>
      <c r="C809" s="414" t="s">
        <v>1818</v>
      </c>
      <c r="D809" s="415">
        <v>12.653</v>
      </c>
    </row>
    <row r="810" spans="2:4" ht="15.75" customHeight="1" x14ac:dyDescent="0.25">
      <c r="B810" s="413"/>
      <c r="C810" s="414" t="s">
        <v>1725</v>
      </c>
      <c r="D810" s="415">
        <v>8.5709999999999997</v>
      </c>
    </row>
    <row r="811" spans="2:4" ht="15.75" customHeight="1" x14ac:dyDescent="0.25">
      <c r="B811" s="413" t="s">
        <v>1355</v>
      </c>
      <c r="C811" s="414" t="s">
        <v>1356</v>
      </c>
      <c r="D811" s="415">
        <v>54.338339622641527</v>
      </c>
    </row>
    <row r="812" spans="2:4" ht="15.75" customHeight="1" x14ac:dyDescent="0.25">
      <c r="B812" s="413" t="s">
        <v>1819</v>
      </c>
      <c r="C812" s="414" t="s">
        <v>803</v>
      </c>
      <c r="D812" s="415">
        <v>10.292</v>
      </c>
    </row>
    <row r="813" spans="2:4" ht="15.75" customHeight="1" x14ac:dyDescent="0.25">
      <c r="B813" s="413" t="s">
        <v>1820</v>
      </c>
      <c r="C813" s="414" t="s">
        <v>1213</v>
      </c>
      <c r="D813" s="415">
        <v>3.8660000000000001</v>
      </c>
    </row>
    <row r="814" spans="2:4" ht="15.75" customHeight="1" x14ac:dyDescent="0.25">
      <c r="B814" s="413" t="s">
        <v>1357</v>
      </c>
      <c r="C814" s="414" t="s">
        <v>830</v>
      </c>
      <c r="D814" s="415">
        <v>2.4618867924528303</v>
      </c>
    </row>
    <row r="815" spans="2:4" ht="15.75" customHeight="1" x14ac:dyDescent="0.25">
      <c r="B815" s="413"/>
      <c r="C815" s="414" t="s">
        <v>1358</v>
      </c>
      <c r="D815" s="415">
        <v>148.41280754716982</v>
      </c>
    </row>
    <row r="816" spans="2:4" ht="15.75" customHeight="1" x14ac:dyDescent="0.25">
      <c r="B816" s="413"/>
      <c r="C816" s="414" t="s">
        <v>1821</v>
      </c>
      <c r="D816" s="415">
        <v>33.659966981132079</v>
      </c>
    </row>
    <row r="817" spans="2:4" ht="15.75" customHeight="1" x14ac:dyDescent="0.25">
      <c r="B817" s="413"/>
      <c r="C817" s="414" t="s">
        <v>1360</v>
      </c>
      <c r="D817" s="415">
        <v>131.60483018867922</v>
      </c>
    </row>
    <row r="818" spans="2:4" ht="15.75" customHeight="1" x14ac:dyDescent="0.25">
      <c r="B818" s="413" t="s">
        <v>1361</v>
      </c>
      <c r="C818" s="414" t="s">
        <v>805</v>
      </c>
      <c r="D818" s="415">
        <v>3.8200283018867944</v>
      </c>
    </row>
    <row r="819" spans="2:4" ht="15.75" customHeight="1" x14ac:dyDescent="0.25">
      <c r="B819" s="413" t="s">
        <v>1822</v>
      </c>
      <c r="C819" s="414" t="s">
        <v>1608</v>
      </c>
      <c r="D819" s="415">
        <v>2.0680000000000001</v>
      </c>
    </row>
    <row r="820" spans="2:4" ht="15.75" customHeight="1" x14ac:dyDescent="0.25">
      <c r="B820" s="413" t="s">
        <v>1362</v>
      </c>
      <c r="C820" s="414" t="s">
        <v>974</v>
      </c>
      <c r="D820" s="415">
        <v>43.212773584905648</v>
      </c>
    </row>
    <row r="821" spans="2:4" ht="15.75" customHeight="1" x14ac:dyDescent="0.25">
      <c r="B821" s="413"/>
      <c r="C821" s="414" t="s">
        <v>1035</v>
      </c>
      <c r="D821" s="415">
        <v>515.18269339622657</v>
      </c>
    </row>
    <row r="822" spans="2:4" ht="15.75" customHeight="1" x14ac:dyDescent="0.25">
      <c r="B822" s="413"/>
      <c r="C822" s="414" t="s">
        <v>1049</v>
      </c>
      <c r="D822" s="415">
        <v>2.1320000000000001</v>
      </c>
    </row>
    <row r="823" spans="2:4" ht="15.75" customHeight="1" x14ac:dyDescent="0.25">
      <c r="B823" s="413" t="s">
        <v>1823</v>
      </c>
      <c r="C823" s="414" t="s">
        <v>1824</v>
      </c>
      <c r="D823" s="415">
        <v>24.595999999999997</v>
      </c>
    </row>
    <row r="824" spans="2:4" ht="15.75" customHeight="1" x14ac:dyDescent="0.25">
      <c r="B824" s="413"/>
      <c r="C824" s="414" t="s">
        <v>1027</v>
      </c>
      <c r="D824" s="415">
        <v>34.973999999999997</v>
      </c>
    </row>
    <row r="825" spans="2:4" ht="15.75" customHeight="1" x14ac:dyDescent="0.25">
      <c r="B825" s="413"/>
      <c r="C825" s="414" t="s">
        <v>1205</v>
      </c>
      <c r="D825" s="415">
        <v>5.0190000000000001</v>
      </c>
    </row>
    <row r="826" spans="2:4" ht="15.75" customHeight="1" x14ac:dyDescent="0.25">
      <c r="B826" s="413" t="s">
        <v>1825</v>
      </c>
      <c r="C826" s="414" t="s">
        <v>1027</v>
      </c>
      <c r="D826" s="415">
        <v>29.349000000000004</v>
      </c>
    </row>
    <row r="827" spans="2:4" ht="15.75" customHeight="1" x14ac:dyDescent="0.25">
      <c r="B827" s="413" t="s">
        <v>1826</v>
      </c>
      <c r="C827" s="414" t="s">
        <v>1027</v>
      </c>
      <c r="D827" s="415">
        <v>1.5569999999999999</v>
      </c>
    </row>
    <row r="828" spans="2:4" ht="15.75" customHeight="1" x14ac:dyDescent="0.25">
      <c r="B828" s="413" t="s">
        <v>1363</v>
      </c>
      <c r="C828" s="414" t="s">
        <v>1364</v>
      </c>
      <c r="D828" s="415">
        <v>12.31488207547169</v>
      </c>
    </row>
    <row r="829" spans="2:4" ht="15.75" customHeight="1" x14ac:dyDescent="0.25">
      <c r="B829" s="413" t="s">
        <v>1365</v>
      </c>
      <c r="C829" s="414" t="s">
        <v>899</v>
      </c>
      <c r="D829" s="415">
        <v>3.2709999999999999</v>
      </c>
    </row>
    <row r="830" spans="2:4" ht="15.75" customHeight="1" x14ac:dyDescent="0.25">
      <c r="B830" s="413" t="s">
        <v>1366</v>
      </c>
      <c r="C830" s="414" t="s">
        <v>1367</v>
      </c>
      <c r="D830" s="415">
        <v>3.9690000000000003</v>
      </c>
    </row>
    <row r="831" spans="2:4" ht="15.75" customHeight="1" x14ac:dyDescent="0.25">
      <c r="B831" s="413"/>
      <c r="C831" s="414" t="s">
        <v>1369</v>
      </c>
      <c r="D831" s="415">
        <v>235.20625943396234</v>
      </c>
    </row>
    <row r="832" spans="2:4" ht="15.75" customHeight="1" x14ac:dyDescent="0.25">
      <c r="B832" s="413"/>
      <c r="C832" s="414" t="s">
        <v>1827</v>
      </c>
      <c r="D832" s="415">
        <v>0.81399999999999995</v>
      </c>
    </row>
    <row r="833" spans="2:4" ht="15.75" customHeight="1" x14ac:dyDescent="0.25">
      <c r="B833" s="413"/>
      <c r="C833" s="414" t="s">
        <v>1371</v>
      </c>
      <c r="D833" s="415">
        <v>30.994721698113199</v>
      </c>
    </row>
    <row r="834" spans="2:4" ht="15.75" customHeight="1" x14ac:dyDescent="0.25">
      <c r="B834" s="413" t="s">
        <v>1372</v>
      </c>
      <c r="C834" s="414" t="s">
        <v>885</v>
      </c>
      <c r="D834" s="415">
        <v>71.038999999999973</v>
      </c>
    </row>
    <row r="835" spans="2:4" ht="15.75" customHeight="1" x14ac:dyDescent="0.25">
      <c r="B835" s="413" t="s">
        <v>1373</v>
      </c>
      <c r="C835" s="414" t="s">
        <v>1019</v>
      </c>
      <c r="D835" s="415">
        <v>64.627646226415052</v>
      </c>
    </row>
    <row r="836" spans="2:4" ht="15.75" customHeight="1" x14ac:dyDescent="0.25">
      <c r="B836" s="413"/>
      <c r="C836" s="414" t="s">
        <v>1374</v>
      </c>
      <c r="D836" s="415">
        <v>52.127999999999979</v>
      </c>
    </row>
    <row r="837" spans="2:4" ht="15.75" customHeight="1" x14ac:dyDescent="0.25">
      <c r="B837" s="413" t="s">
        <v>1828</v>
      </c>
      <c r="C837" s="414" t="s">
        <v>1640</v>
      </c>
      <c r="D837" s="415">
        <v>0.36699999999999999</v>
      </c>
    </row>
    <row r="838" spans="2:4" ht="15.75" customHeight="1" x14ac:dyDescent="0.25">
      <c r="B838" s="413"/>
      <c r="C838" s="414" t="s">
        <v>1485</v>
      </c>
      <c r="D838" s="415">
        <v>6.1059009433962252</v>
      </c>
    </row>
    <row r="839" spans="2:4" ht="15.75" customHeight="1" x14ac:dyDescent="0.25">
      <c r="B839" s="413" t="s">
        <v>1375</v>
      </c>
      <c r="C839" s="414" t="s">
        <v>974</v>
      </c>
      <c r="D839" s="415">
        <v>12.290283018867923</v>
      </c>
    </row>
    <row r="840" spans="2:4" ht="15.75" customHeight="1" x14ac:dyDescent="0.25">
      <c r="B840" s="413" t="s">
        <v>1376</v>
      </c>
      <c r="C840" s="414" t="s">
        <v>1377</v>
      </c>
      <c r="D840" s="415">
        <v>1.0275707547169826</v>
      </c>
    </row>
    <row r="841" spans="2:4" ht="15.75" customHeight="1" x14ac:dyDescent="0.25">
      <c r="B841" s="413"/>
      <c r="C841" s="414" t="s">
        <v>1379</v>
      </c>
      <c r="D841" s="415">
        <v>7.3769999999999998</v>
      </c>
    </row>
    <row r="842" spans="2:4" ht="15.75" customHeight="1" x14ac:dyDescent="0.25">
      <c r="B842" s="413"/>
      <c r="C842" s="414" t="s">
        <v>1380</v>
      </c>
      <c r="D842" s="415">
        <v>16.219580188679249</v>
      </c>
    </row>
    <row r="843" spans="2:4" ht="15.75" customHeight="1" x14ac:dyDescent="0.25">
      <c r="B843" s="413"/>
      <c r="C843" s="414" t="s">
        <v>1381</v>
      </c>
      <c r="D843" s="415">
        <v>5.7577358490566022</v>
      </c>
    </row>
    <row r="844" spans="2:4" ht="15.75" customHeight="1" x14ac:dyDescent="0.25">
      <c r="B844" s="413" t="s">
        <v>1382</v>
      </c>
      <c r="C844" s="414" t="s">
        <v>1383</v>
      </c>
      <c r="D844" s="415">
        <v>0.22346698113207397</v>
      </c>
    </row>
    <row r="845" spans="2:4" ht="15.75" customHeight="1" x14ac:dyDescent="0.25">
      <c r="B845" s="413"/>
      <c r="C845" s="414" t="s">
        <v>1330</v>
      </c>
      <c r="D845" s="415">
        <v>777.63775786163512</v>
      </c>
    </row>
    <row r="846" spans="2:4" ht="15.75" customHeight="1" x14ac:dyDescent="0.25">
      <c r="B846" s="413"/>
      <c r="C846" s="414" t="s">
        <v>1384</v>
      </c>
      <c r="D846" s="415">
        <v>147.15505188679245</v>
      </c>
    </row>
    <row r="847" spans="2:4" ht="15.75" customHeight="1" x14ac:dyDescent="0.25">
      <c r="B847" s="413" t="s">
        <v>1385</v>
      </c>
      <c r="C847" s="414" t="s">
        <v>1386</v>
      </c>
      <c r="D847" s="415">
        <v>5.7430000000000003</v>
      </c>
    </row>
    <row r="848" spans="2:4" ht="15.75" customHeight="1" x14ac:dyDescent="0.25">
      <c r="B848" s="413" t="s">
        <v>1387</v>
      </c>
      <c r="C848" s="414" t="s">
        <v>1246</v>
      </c>
      <c r="D848" s="415">
        <v>4.5556320754716975</v>
      </c>
    </row>
    <row r="849" spans="2:4" ht="15.75" customHeight="1" x14ac:dyDescent="0.25">
      <c r="B849" s="413"/>
      <c r="C849" s="414" t="s">
        <v>1232</v>
      </c>
      <c r="D849" s="415">
        <v>11.556632075471697</v>
      </c>
    </row>
    <row r="850" spans="2:4" ht="15.75" customHeight="1" x14ac:dyDescent="0.25">
      <c r="B850" s="413"/>
      <c r="C850" s="414" t="s">
        <v>910</v>
      </c>
      <c r="D850" s="415">
        <v>49.795896226415103</v>
      </c>
    </row>
    <row r="851" spans="2:4" ht="15.75" customHeight="1" x14ac:dyDescent="0.25">
      <c r="B851" s="413"/>
      <c r="C851" s="414" t="s">
        <v>1198</v>
      </c>
      <c r="D851" s="415">
        <v>11.785000000000002</v>
      </c>
    </row>
    <row r="852" spans="2:4" ht="15.75" customHeight="1" x14ac:dyDescent="0.25">
      <c r="B852" s="413"/>
      <c r="C852" s="414" t="s">
        <v>1205</v>
      </c>
      <c r="D852" s="415">
        <v>44.814608490566059</v>
      </c>
    </row>
    <row r="853" spans="2:4" ht="15.75" customHeight="1" x14ac:dyDescent="0.25">
      <c r="B853" s="413"/>
      <c r="C853" s="414" t="s">
        <v>1193</v>
      </c>
      <c r="D853" s="415">
        <v>158.47885849056595</v>
      </c>
    </row>
    <row r="854" spans="2:4" ht="15.75" customHeight="1" x14ac:dyDescent="0.25">
      <c r="B854" s="413" t="s">
        <v>1388</v>
      </c>
      <c r="C854" s="414" t="s">
        <v>1205</v>
      </c>
      <c r="D854" s="415">
        <v>6.3353537735849041</v>
      </c>
    </row>
    <row r="855" spans="2:4" ht="15.75" customHeight="1" x14ac:dyDescent="0.25">
      <c r="B855" s="413" t="s">
        <v>1389</v>
      </c>
      <c r="C855" s="414" t="s">
        <v>1390</v>
      </c>
      <c r="D855" s="415">
        <v>54.591334905660347</v>
      </c>
    </row>
    <row r="856" spans="2:4" ht="15.75" customHeight="1" x14ac:dyDescent="0.25">
      <c r="B856" s="413" t="s">
        <v>1829</v>
      </c>
      <c r="C856" s="414" t="s">
        <v>1594</v>
      </c>
      <c r="D856" s="415">
        <v>29.449999999999996</v>
      </c>
    </row>
    <row r="857" spans="2:4" ht="15.75" customHeight="1" x14ac:dyDescent="0.25">
      <c r="B857" s="413" t="s">
        <v>1391</v>
      </c>
      <c r="C857" s="414" t="s">
        <v>1392</v>
      </c>
      <c r="D857" s="415">
        <v>10.736688679245283</v>
      </c>
    </row>
    <row r="858" spans="2:4" ht="15.75" customHeight="1" x14ac:dyDescent="0.25">
      <c r="B858" s="413" t="s">
        <v>1393</v>
      </c>
      <c r="C858" s="414" t="s">
        <v>1472</v>
      </c>
      <c r="D858" s="415">
        <v>5.0129999999999999</v>
      </c>
    </row>
    <row r="859" spans="2:4" ht="15.75" customHeight="1" x14ac:dyDescent="0.25">
      <c r="B859" s="413"/>
      <c r="C859" s="414" t="s">
        <v>1392</v>
      </c>
      <c r="D859" s="415">
        <v>6.5702547169811316</v>
      </c>
    </row>
    <row r="860" spans="2:4" ht="15.75" customHeight="1" x14ac:dyDescent="0.25">
      <c r="B860" s="413"/>
      <c r="C860" s="414" t="s">
        <v>1394</v>
      </c>
      <c r="D860" s="415">
        <v>50.711372641509421</v>
      </c>
    </row>
    <row r="861" spans="2:4" ht="15.75" customHeight="1" x14ac:dyDescent="0.25">
      <c r="B861" s="413" t="s">
        <v>1395</v>
      </c>
      <c r="C861" s="414" t="s">
        <v>1114</v>
      </c>
      <c r="D861" s="415">
        <v>6.1192405660377389</v>
      </c>
    </row>
    <row r="862" spans="2:4" ht="15.75" customHeight="1" x14ac:dyDescent="0.25">
      <c r="B862" s="413"/>
      <c r="C862" s="414" t="s">
        <v>1396</v>
      </c>
      <c r="D862" s="415">
        <v>16.605004716981128</v>
      </c>
    </row>
    <row r="863" spans="2:4" ht="15.75" customHeight="1" x14ac:dyDescent="0.25">
      <c r="B863" s="413"/>
      <c r="C863" s="414" t="s">
        <v>1830</v>
      </c>
      <c r="D863" s="415">
        <v>3.16</v>
      </c>
    </row>
    <row r="864" spans="2:4" ht="15.75" customHeight="1" x14ac:dyDescent="0.25">
      <c r="B864" s="413" t="s">
        <v>1397</v>
      </c>
      <c r="C864" s="414" t="s">
        <v>1248</v>
      </c>
      <c r="D864" s="415">
        <v>28.334</v>
      </c>
    </row>
    <row r="865" spans="2:4" ht="15.75" customHeight="1" x14ac:dyDescent="0.25">
      <c r="B865" s="413" t="s">
        <v>1398</v>
      </c>
      <c r="C865" s="414" t="s">
        <v>1349</v>
      </c>
      <c r="D865" s="415">
        <v>716.33376037735877</v>
      </c>
    </row>
    <row r="866" spans="2:4" ht="15.75" customHeight="1" x14ac:dyDescent="0.25">
      <c r="B866" s="413"/>
      <c r="C866" s="414" t="s">
        <v>1014</v>
      </c>
      <c r="D866" s="415">
        <v>204.3547735849057</v>
      </c>
    </row>
    <row r="867" spans="2:4" ht="15.75" customHeight="1" x14ac:dyDescent="0.25">
      <c r="B867" s="413"/>
      <c r="C867" s="414" t="s">
        <v>794</v>
      </c>
      <c r="D867" s="415">
        <v>4.8129999999999997</v>
      </c>
    </row>
    <row r="868" spans="2:4" ht="15.75" customHeight="1" x14ac:dyDescent="0.25">
      <c r="B868" s="413"/>
      <c r="C868" s="414" t="s">
        <v>1399</v>
      </c>
      <c r="D868" s="415">
        <v>0.92500000000000004</v>
      </c>
    </row>
    <row r="869" spans="2:4" ht="15.75" customHeight="1" x14ac:dyDescent="0.25">
      <c r="B869" s="413"/>
      <c r="C869" s="414" t="s">
        <v>1012</v>
      </c>
      <c r="D869" s="415">
        <v>112.61823584905656</v>
      </c>
    </row>
    <row r="870" spans="2:4" ht="15.75" customHeight="1" x14ac:dyDescent="0.25">
      <c r="B870" s="413"/>
      <c r="C870" s="414" t="s">
        <v>1831</v>
      </c>
      <c r="D870" s="415">
        <v>41.721999999999994</v>
      </c>
    </row>
    <row r="871" spans="2:4" ht="15.75" customHeight="1" x14ac:dyDescent="0.25">
      <c r="B871" s="413" t="s">
        <v>1400</v>
      </c>
      <c r="C871" s="414" t="s">
        <v>1012</v>
      </c>
      <c r="D871" s="415">
        <v>109.20163679245282</v>
      </c>
    </row>
    <row r="872" spans="2:4" ht="15.75" customHeight="1" x14ac:dyDescent="0.25">
      <c r="B872" s="413" t="s">
        <v>1401</v>
      </c>
      <c r="C872" s="414" t="s">
        <v>794</v>
      </c>
      <c r="D872" s="415">
        <v>1.8207500000000012</v>
      </c>
    </row>
    <row r="873" spans="2:4" ht="15.75" customHeight="1" x14ac:dyDescent="0.25">
      <c r="B873" s="413" t="s">
        <v>1402</v>
      </c>
      <c r="C873" s="414" t="s">
        <v>1403</v>
      </c>
      <c r="D873" s="415">
        <v>33.123999999999988</v>
      </c>
    </row>
    <row r="874" spans="2:4" ht="15.75" customHeight="1" x14ac:dyDescent="0.25">
      <c r="B874" s="413" t="s">
        <v>1832</v>
      </c>
      <c r="C874" s="414" t="s">
        <v>1594</v>
      </c>
      <c r="D874" s="415">
        <v>4.9269999999999996</v>
      </c>
    </row>
    <row r="875" spans="2:4" ht="15.75" customHeight="1" x14ac:dyDescent="0.25">
      <c r="B875" s="413" t="s">
        <v>1404</v>
      </c>
      <c r="C875" s="414" t="s">
        <v>1370</v>
      </c>
      <c r="D875" s="415">
        <v>559.16229716981172</v>
      </c>
    </row>
    <row r="876" spans="2:4" ht="15.75" customHeight="1" x14ac:dyDescent="0.25">
      <c r="B876" s="413"/>
      <c r="C876" s="414" t="s">
        <v>1405</v>
      </c>
      <c r="D876" s="415">
        <v>8.1819999999999986</v>
      </c>
    </row>
    <row r="877" spans="2:4" ht="15.75" customHeight="1" x14ac:dyDescent="0.25">
      <c r="B877" s="413" t="s">
        <v>1410</v>
      </c>
      <c r="C877" s="414" t="s">
        <v>801</v>
      </c>
      <c r="D877" s="415">
        <v>9.4670000000000005</v>
      </c>
    </row>
    <row r="878" spans="2:4" ht="15.75" customHeight="1" x14ac:dyDescent="0.25">
      <c r="B878" s="413"/>
      <c r="C878" s="414" t="s">
        <v>1411</v>
      </c>
      <c r="D878" s="415">
        <v>122.30799999999994</v>
      </c>
    </row>
    <row r="879" spans="2:4" ht="15.75" customHeight="1" x14ac:dyDescent="0.25">
      <c r="B879" s="413"/>
      <c r="C879" s="414" t="s">
        <v>1313</v>
      </c>
      <c r="D879" s="415">
        <v>97.948245283018878</v>
      </c>
    </row>
    <row r="880" spans="2:4" ht="15.75" customHeight="1" x14ac:dyDescent="0.25">
      <c r="B880" s="413"/>
      <c r="C880" s="414" t="s">
        <v>1412</v>
      </c>
      <c r="D880" s="415">
        <v>7.2519999999999998</v>
      </c>
    </row>
    <row r="881" spans="2:4" ht="15.75" customHeight="1" x14ac:dyDescent="0.25">
      <c r="B881" s="413"/>
      <c r="C881" s="414" t="s">
        <v>1479</v>
      </c>
      <c r="D881" s="415">
        <v>43.46</v>
      </c>
    </row>
    <row r="882" spans="2:4" ht="15.75" customHeight="1" x14ac:dyDescent="0.25">
      <c r="B882" s="413"/>
      <c r="C882" s="414" t="s">
        <v>1086</v>
      </c>
      <c r="D882" s="415">
        <v>94.02200000000002</v>
      </c>
    </row>
    <row r="883" spans="2:4" ht="15.75" customHeight="1" x14ac:dyDescent="0.25">
      <c r="B883" s="413"/>
      <c r="C883" s="414" t="s">
        <v>799</v>
      </c>
      <c r="D883" s="415">
        <v>3.1080000000000001</v>
      </c>
    </row>
    <row r="884" spans="2:4" ht="15.75" customHeight="1" x14ac:dyDescent="0.25">
      <c r="B884" s="413"/>
      <c r="C884" s="414" t="s">
        <v>1279</v>
      </c>
      <c r="D884" s="415">
        <v>76.074344339622627</v>
      </c>
    </row>
    <row r="885" spans="2:4" ht="15.75" customHeight="1" x14ac:dyDescent="0.25">
      <c r="B885" s="413"/>
      <c r="C885" s="414" t="s">
        <v>1413</v>
      </c>
      <c r="D885" s="415">
        <v>288.28846226415044</v>
      </c>
    </row>
    <row r="886" spans="2:4" ht="15.75" customHeight="1" x14ac:dyDescent="0.25">
      <c r="B886" s="413"/>
      <c r="C886" s="414" t="s">
        <v>938</v>
      </c>
      <c r="D886" s="415">
        <v>35.111533018867917</v>
      </c>
    </row>
    <row r="887" spans="2:4" ht="15.75" customHeight="1" x14ac:dyDescent="0.25">
      <c r="B887" s="413" t="s">
        <v>1414</v>
      </c>
      <c r="C887" s="414" t="s">
        <v>1000</v>
      </c>
      <c r="D887" s="415">
        <v>29.406000000000002</v>
      </c>
    </row>
    <row r="888" spans="2:4" ht="15.75" customHeight="1" x14ac:dyDescent="0.25">
      <c r="B888" s="413"/>
      <c r="C888" s="414" t="s">
        <v>1833</v>
      </c>
      <c r="D888" s="415">
        <v>3.66</v>
      </c>
    </row>
    <row r="889" spans="2:4" ht="15.75" customHeight="1" x14ac:dyDescent="0.25">
      <c r="B889" s="413" t="s">
        <v>1415</v>
      </c>
      <c r="C889" s="414" t="s">
        <v>1833</v>
      </c>
      <c r="D889" s="415">
        <v>232.396737735849</v>
      </c>
    </row>
    <row r="890" spans="2:4" ht="15.75" customHeight="1" x14ac:dyDescent="0.25">
      <c r="B890" s="413"/>
      <c r="C890" s="414" t="s">
        <v>1001</v>
      </c>
      <c r="D890" s="415">
        <v>2.0499999999999998</v>
      </c>
    </row>
    <row r="891" spans="2:4" ht="15.75" customHeight="1" x14ac:dyDescent="0.25">
      <c r="B891" s="413" t="s">
        <v>1834</v>
      </c>
      <c r="C891" s="414" t="s">
        <v>1835</v>
      </c>
      <c r="D891" s="415">
        <v>2.8559999999999999</v>
      </c>
    </row>
    <row r="892" spans="2:4" ht="15.75" customHeight="1" x14ac:dyDescent="0.25">
      <c r="B892" s="413"/>
      <c r="C892" s="414" t="s">
        <v>1836</v>
      </c>
      <c r="D892" s="415">
        <v>0.42199999999999999</v>
      </c>
    </row>
    <row r="893" spans="2:4" ht="15.75" customHeight="1" x14ac:dyDescent="0.25">
      <c r="B893" s="413" t="s">
        <v>1837</v>
      </c>
      <c r="C893" s="414" t="s">
        <v>986</v>
      </c>
      <c r="D893" s="415">
        <v>14.89</v>
      </c>
    </row>
    <row r="894" spans="2:4" ht="15.75" customHeight="1" x14ac:dyDescent="0.25">
      <c r="B894" s="413" t="s">
        <v>1417</v>
      </c>
      <c r="C894" s="414" t="s">
        <v>1232</v>
      </c>
      <c r="D894" s="415">
        <v>1145.1215326792449</v>
      </c>
    </row>
    <row r="895" spans="2:4" ht="15.75" customHeight="1" x14ac:dyDescent="0.25">
      <c r="B895" s="413"/>
      <c r="C895" s="414" t="s">
        <v>1005</v>
      </c>
      <c r="D895" s="415">
        <v>1825.491149371069</v>
      </c>
    </row>
    <row r="896" spans="2:4" ht="15.75" customHeight="1" x14ac:dyDescent="0.25">
      <c r="B896" s="413"/>
      <c r="C896" s="414" t="s">
        <v>1006</v>
      </c>
      <c r="D896" s="415">
        <v>15212.140633773644</v>
      </c>
    </row>
    <row r="897" spans="2:4" ht="15.75" customHeight="1" x14ac:dyDescent="0.25">
      <c r="B897" s="413" t="s">
        <v>1838</v>
      </c>
      <c r="C897" s="414" t="s">
        <v>902</v>
      </c>
      <c r="D897" s="415">
        <v>55.91</v>
      </c>
    </row>
    <row r="898" spans="2:4" ht="15.75" customHeight="1" x14ac:dyDescent="0.25">
      <c r="B898" s="413"/>
      <c r="C898" s="414" t="s">
        <v>993</v>
      </c>
      <c r="D898" s="415">
        <v>96.094999999999999</v>
      </c>
    </row>
    <row r="899" spans="2:4" ht="15.75" customHeight="1" x14ac:dyDescent="0.25">
      <c r="B899" s="413" t="s">
        <v>1419</v>
      </c>
      <c r="C899" s="414" t="s">
        <v>863</v>
      </c>
      <c r="D899" s="415">
        <v>727.19999999999993</v>
      </c>
    </row>
    <row r="900" spans="2:4" ht="15.75" customHeight="1" x14ac:dyDescent="0.25">
      <c r="B900" s="413"/>
      <c r="C900" s="414" t="s">
        <v>865</v>
      </c>
      <c r="D900" s="415">
        <v>14.54</v>
      </c>
    </row>
    <row r="901" spans="2:4" ht="15.75" customHeight="1" x14ac:dyDescent="0.25">
      <c r="B901" s="413"/>
      <c r="C901" s="414" t="s">
        <v>867</v>
      </c>
      <c r="D901" s="415">
        <v>823.22371226415078</v>
      </c>
    </row>
    <row r="902" spans="2:4" ht="15.75" customHeight="1" x14ac:dyDescent="0.25">
      <c r="B902" s="413"/>
      <c r="C902" s="414" t="s">
        <v>1420</v>
      </c>
      <c r="D902" s="415">
        <v>512.35399999999993</v>
      </c>
    </row>
    <row r="903" spans="2:4" ht="15.75" customHeight="1" x14ac:dyDescent="0.25">
      <c r="B903" s="413"/>
      <c r="C903" s="414" t="s">
        <v>1421</v>
      </c>
      <c r="D903" s="415">
        <v>30.777999999999999</v>
      </c>
    </row>
    <row r="904" spans="2:4" ht="15.75" customHeight="1" x14ac:dyDescent="0.25">
      <c r="B904" s="413" t="s">
        <v>1423</v>
      </c>
      <c r="C904" s="414" t="s">
        <v>863</v>
      </c>
      <c r="D904" s="415">
        <v>25.756999999999998</v>
      </c>
    </row>
    <row r="905" spans="2:4" ht="15.75" customHeight="1" x14ac:dyDescent="0.25">
      <c r="B905" s="413"/>
      <c r="C905" s="414" t="s">
        <v>1424</v>
      </c>
      <c r="D905" s="415">
        <v>1.274</v>
      </c>
    </row>
    <row r="906" spans="2:4" ht="15.75" customHeight="1" x14ac:dyDescent="0.25">
      <c r="B906" s="413" t="s">
        <v>1425</v>
      </c>
      <c r="C906" s="414" t="s">
        <v>1427</v>
      </c>
      <c r="D906" s="415">
        <v>5.6280000000000001</v>
      </c>
    </row>
    <row r="907" spans="2:4" ht="15.75" customHeight="1" x14ac:dyDescent="0.25">
      <c r="B907" s="413" t="s">
        <v>1428</v>
      </c>
      <c r="C907" s="414" t="s">
        <v>1430</v>
      </c>
      <c r="D907" s="415">
        <v>94.991</v>
      </c>
    </row>
    <row r="908" spans="2:4" ht="15.75" customHeight="1" x14ac:dyDescent="0.25">
      <c r="B908" s="413"/>
      <c r="C908" s="414" t="s">
        <v>1431</v>
      </c>
      <c r="D908" s="415">
        <v>283.14486320754725</v>
      </c>
    </row>
    <row r="909" spans="2:4" ht="15.75" customHeight="1" x14ac:dyDescent="0.25">
      <c r="B909" s="413"/>
      <c r="C909" s="414" t="s">
        <v>1432</v>
      </c>
      <c r="D909" s="415">
        <v>272.70331132075484</v>
      </c>
    </row>
    <row r="910" spans="2:4" ht="15.75" customHeight="1" x14ac:dyDescent="0.25">
      <c r="B910" s="413"/>
      <c r="C910" s="414" t="s">
        <v>1839</v>
      </c>
      <c r="D910" s="415">
        <v>20.769000000000002</v>
      </c>
    </row>
    <row r="911" spans="2:4" ht="15.75" customHeight="1" x14ac:dyDescent="0.25">
      <c r="B911" s="413"/>
      <c r="C911" s="414" t="s">
        <v>1840</v>
      </c>
      <c r="D911" s="415">
        <v>2.4649999999999999</v>
      </c>
    </row>
    <row r="912" spans="2:4" ht="15.75" customHeight="1" x14ac:dyDescent="0.25">
      <c r="B912" s="413"/>
      <c r="C912" s="414" t="s">
        <v>1456</v>
      </c>
      <c r="D912" s="415">
        <v>8.3330000000000002</v>
      </c>
    </row>
    <row r="913" spans="2:4" ht="15.75" customHeight="1" x14ac:dyDescent="0.25">
      <c r="B913" s="413"/>
      <c r="C913" s="414" t="s">
        <v>1011</v>
      </c>
      <c r="D913" s="415">
        <v>0.97199999999999998</v>
      </c>
    </row>
    <row r="914" spans="2:4" ht="15.75" customHeight="1" x14ac:dyDescent="0.25">
      <c r="B914" s="413"/>
      <c r="C914" s="414" t="s">
        <v>793</v>
      </c>
      <c r="D914" s="415">
        <v>3.6960000000000002</v>
      </c>
    </row>
    <row r="915" spans="2:4" ht="15.75" customHeight="1" x14ac:dyDescent="0.25">
      <c r="B915" s="413"/>
      <c r="C915" s="414" t="s">
        <v>796</v>
      </c>
      <c r="D915" s="415">
        <v>2381.587442849057</v>
      </c>
    </row>
    <row r="916" spans="2:4" ht="15.75" customHeight="1" x14ac:dyDescent="0.25">
      <c r="B916" s="413"/>
      <c r="C916" s="414" t="s">
        <v>1108</v>
      </c>
      <c r="D916" s="415">
        <v>19.96389150943396</v>
      </c>
    </row>
    <row r="917" spans="2:4" ht="15.75" customHeight="1" x14ac:dyDescent="0.25">
      <c r="B917" s="413"/>
      <c r="C917" s="414" t="s">
        <v>1433</v>
      </c>
      <c r="D917" s="415">
        <v>1152.5780660358284</v>
      </c>
    </row>
    <row r="918" spans="2:4" ht="15.75" customHeight="1" x14ac:dyDescent="0.25">
      <c r="B918" s="413"/>
      <c r="C918" s="414" t="s">
        <v>1109</v>
      </c>
      <c r="D918" s="415">
        <v>2686.2594902515721</v>
      </c>
    </row>
    <row r="919" spans="2:4" ht="15.75" customHeight="1" x14ac:dyDescent="0.25">
      <c r="B919" s="413"/>
      <c r="C919" s="414" t="s">
        <v>1718</v>
      </c>
      <c r="D919" s="415">
        <v>36.756000000000007</v>
      </c>
    </row>
    <row r="920" spans="2:4" ht="15.75" customHeight="1" x14ac:dyDescent="0.25">
      <c r="B920" s="413"/>
      <c r="C920" s="414" t="s">
        <v>1434</v>
      </c>
      <c r="D920" s="415">
        <v>298.40799999999996</v>
      </c>
    </row>
    <row r="921" spans="2:4" ht="15.75" customHeight="1" x14ac:dyDescent="0.25">
      <c r="B921" s="413"/>
      <c r="C921" s="414" t="s">
        <v>1435</v>
      </c>
      <c r="D921" s="415">
        <v>3961.0304796981104</v>
      </c>
    </row>
    <row r="922" spans="2:4" ht="15.75" customHeight="1" x14ac:dyDescent="0.25">
      <c r="B922" s="413"/>
      <c r="C922" s="414" t="s">
        <v>1436</v>
      </c>
      <c r="D922" s="415">
        <v>67.262051886792463</v>
      </c>
    </row>
    <row r="923" spans="2:4" ht="15.75" customHeight="1" x14ac:dyDescent="0.25">
      <c r="B923" s="413"/>
      <c r="C923" s="414" t="s">
        <v>1841</v>
      </c>
      <c r="D923" s="415">
        <v>7.8070000000000004</v>
      </c>
    </row>
    <row r="924" spans="2:4" ht="15.75" customHeight="1" x14ac:dyDescent="0.25">
      <c r="B924" s="413"/>
      <c r="C924" s="414" t="s">
        <v>1189</v>
      </c>
      <c r="D924" s="415">
        <v>31.189669811320755</v>
      </c>
    </row>
    <row r="925" spans="2:4" ht="15.75" customHeight="1" x14ac:dyDescent="0.25">
      <c r="B925" s="413"/>
      <c r="C925" s="414" t="s">
        <v>1193</v>
      </c>
      <c r="D925" s="415">
        <v>7.3070000000000004</v>
      </c>
    </row>
    <row r="926" spans="2:4" ht="15.75" customHeight="1" x14ac:dyDescent="0.25">
      <c r="B926" s="413"/>
      <c r="C926" s="414" t="s">
        <v>1437</v>
      </c>
      <c r="D926" s="415">
        <v>9816.7756547169774</v>
      </c>
    </row>
    <row r="927" spans="2:4" ht="15.75" customHeight="1" x14ac:dyDescent="0.25">
      <c r="B927" s="413"/>
      <c r="C927" s="414" t="s">
        <v>1438</v>
      </c>
      <c r="D927" s="415">
        <v>222.24799999999999</v>
      </c>
    </row>
    <row r="928" spans="2:4" ht="15.75" customHeight="1" x14ac:dyDescent="0.25">
      <c r="B928" s="413"/>
      <c r="C928" s="414" t="s">
        <v>1440</v>
      </c>
      <c r="D928" s="415">
        <v>2840.1257018867909</v>
      </c>
    </row>
    <row r="929" spans="2:4" ht="15.75" customHeight="1" x14ac:dyDescent="0.25">
      <c r="B929" s="413"/>
      <c r="C929" s="414" t="s">
        <v>1442</v>
      </c>
      <c r="D929" s="415">
        <v>153.64599999999999</v>
      </c>
    </row>
    <row r="930" spans="2:4" ht="15.75" customHeight="1" x14ac:dyDescent="0.25">
      <c r="B930" s="413"/>
      <c r="C930" s="414" t="s">
        <v>1842</v>
      </c>
      <c r="D930" s="415">
        <v>1.538</v>
      </c>
    </row>
    <row r="931" spans="2:4" ht="15.75" customHeight="1" x14ac:dyDescent="0.25">
      <c r="B931" s="413"/>
      <c r="C931" s="414" t="s">
        <v>1443</v>
      </c>
      <c r="D931" s="415">
        <v>133.48800000000006</v>
      </c>
    </row>
    <row r="932" spans="2:4" ht="15.75" customHeight="1" x14ac:dyDescent="0.25">
      <c r="B932" s="413"/>
      <c r="C932" s="414" t="s">
        <v>1444</v>
      </c>
      <c r="D932" s="415">
        <v>224.58173584905657</v>
      </c>
    </row>
    <row r="933" spans="2:4" ht="15.75" customHeight="1" x14ac:dyDescent="0.25">
      <c r="B933" s="413" t="s">
        <v>1843</v>
      </c>
      <c r="C933" s="414" t="s">
        <v>1431</v>
      </c>
      <c r="D933" s="415">
        <v>7.055394654088051</v>
      </c>
    </row>
    <row r="934" spans="2:4" ht="15.75" customHeight="1" x14ac:dyDescent="0.25">
      <c r="B934" s="413" t="s">
        <v>1445</v>
      </c>
      <c r="C934" s="414" t="s">
        <v>1433</v>
      </c>
      <c r="D934" s="415">
        <v>907.3249999999997</v>
      </c>
    </row>
    <row r="935" spans="2:4" ht="15.75" customHeight="1" x14ac:dyDescent="0.25">
      <c r="B935" s="413"/>
      <c r="C935" s="414" t="s">
        <v>1109</v>
      </c>
      <c r="D935" s="415">
        <v>47.621000000000002</v>
      </c>
    </row>
    <row r="936" spans="2:4" ht="15.75" customHeight="1" x14ac:dyDescent="0.25">
      <c r="B936" s="413"/>
      <c r="C936" s="414" t="s">
        <v>1444</v>
      </c>
      <c r="D936" s="415">
        <v>29.993000000000002</v>
      </c>
    </row>
    <row r="937" spans="2:4" ht="15.75" customHeight="1" x14ac:dyDescent="0.25">
      <c r="B937" s="413" t="s">
        <v>1446</v>
      </c>
      <c r="C937" s="414" t="s">
        <v>1431</v>
      </c>
      <c r="D937" s="415">
        <v>37.294000000000004</v>
      </c>
    </row>
    <row r="938" spans="2:4" ht="15.75" customHeight="1" x14ac:dyDescent="0.25">
      <c r="B938" s="413"/>
      <c r="C938" s="414" t="s">
        <v>1432</v>
      </c>
      <c r="D938" s="415">
        <v>28.80443867924528</v>
      </c>
    </row>
    <row r="939" spans="2:4" ht="15.75" customHeight="1" x14ac:dyDescent="0.25">
      <c r="B939" s="413"/>
      <c r="C939" s="414" t="s">
        <v>1109</v>
      </c>
      <c r="D939" s="415">
        <v>33.577999999999996</v>
      </c>
    </row>
    <row r="940" spans="2:4" ht="15.75" customHeight="1" x14ac:dyDescent="0.25">
      <c r="B940" s="413"/>
      <c r="C940" s="414" t="s">
        <v>1436</v>
      </c>
      <c r="D940" s="415">
        <v>2.4881603773584953</v>
      </c>
    </row>
    <row r="941" spans="2:4" ht="15.75" customHeight="1" x14ac:dyDescent="0.25">
      <c r="B941" s="413"/>
      <c r="C941" s="414" t="s">
        <v>1437</v>
      </c>
      <c r="D941" s="415">
        <v>1101.4580000000005</v>
      </c>
    </row>
    <row r="942" spans="2:4" ht="15.75" customHeight="1" x14ac:dyDescent="0.25">
      <c r="B942" s="413" t="s">
        <v>1448</v>
      </c>
      <c r="C942" s="414" t="s">
        <v>1844</v>
      </c>
      <c r="D942" s="415">
        <v>9.7219999999999995</v>
      </c>
    </row>
    <row r="943" spans="2:4" ht="15.75" customHeight="1" x14ac:dyDescent="0.25">
      <c r="B943" s="413"/>
      <c r="C943" s="414" t="s">
        <v>793</v>
      </c>
      <c r="D943" s="415">
        <v>6.2729999999999997</v>
      </c>
    </row>
    <row r="944" spans="2:4" ht="15.75" customHeight="1" x14ac:dyDescent="0.25">
      <c r="B944" s="413"/>
      <c r="C944" s="414" t="s">
        <v>796</v>
      </c>
      <c r="D944" s="415">
        <v>482.0654716981133</v>
      </c>
    </row>
    <row r="945" spans="2:4" ht="15.75" customHeight="1" x14ac:dyDescent="0.25">
      <c r="B945" s="413"/>
      <c r="C945" s="414" t="s">
        <v>1433</v>
      </c>
      <c r="D945" s="415">
        <v>29.825188679245286</v>
      </c>
    </row>
    <row r="946" spans="2:4" ht="15.75" customHeight="1" x14ac:dyDescent="0.25">
      <c r="B946" s="413"/>
      <c r="C946" s="414" t="s">
        <v>1434</v>
      </c>
      <c r="D946" s="415">
        <v>15.313632075471698</v>
      </c>
    </row>
    <row r="947" spans="2:4" ht="15.75" customHeight="1" x14ac:dyDescent="0.25">
      <c r="B947" s="413"/>
      <c r="C947" s="414" t="s">
        <v>1435</v>
      </c>
      <c r="D947" s="415">
        <v>9.9720000000000013</v>
      </c>
    </row>
    <row r="948" spans="2:4" ht="15.75" customHeight="1" x14ac:dyDescent="0.25">
      <c r="B948" s="413"/>
      <c r="C948" s="414" t="s">
        <v>1449</v>
      </c>
      <c r="D948" s="415">
        <v>57.399000000000001</v>
      </c>
    </row>
    <row r="949" spans="2:4" ht="15.75" customHeight="1" x14ac:dyDescent="0.25">
      <c r="B949" s="413"/>
      <c r="C949" s="414" t="s">
        <v>1444</v>
      </c>
      <c r="D949" s="415">
        <v>79.326339622641513</v>
      </c>
    </row>
    <row r="950" spans="2:4" ht="15.75" customHeight="1" x14ac:dyDescent="0.25">
      <c r="B950" s="413" t="s">
        <v>1450</v>
      </c>
      <c r="C950" s="414" t="s">
        <v>1433</v>
      </c>
      <c r="D950" s="415">
        <v>0.57499999999999996</v>
      </c>
    </row>
    <row r="951" spans="2:4" ht="15.75" customHeight="1" x14ac:dyDescent="0.25">
      <c r="B951" s="413" t="s">
        <v>1845</v>
      </c>
      <c r="C951" s="414" t="s">
        <v>1846</v>
      </c>
      <c r="D951" s="415">
        <v>2.7639999999999998</v>
      </c>
    </row>
    <row r="952" spans="2:4" ht="15.75" customHeight="1" x14ac:dyDescent="0.25">
      <c r="B952" s="413" t="s">
        <v>1847</v>
      </c>
      <c r="C952" s="414" t="s">
        <v>1456</v>
      </c>
      <c r="D952" s="415">
        <v>0.73099999999999998</v>
      </c>
    </row>
    <row r="953" spans="2:4" ht="15.75" customHeight="1" x14ac:dyDescent="0.25">
      <c r="B953" s="413" t="s">
        <v>1453</v>
      </c>
      <c r="C953" s="414" t="s">
        <v>1011</v>
      </c>
      <c r="D953" s="415">
        <v>820.81208962264157</v>
      </c>
    </row>
    <row r="954" spans="2:4" ht="15.75" customHeight="1" x14ac:dyDescent="0.25">
      <c r="B954" s="413"/>
      <c r="C954" s="414" t="s">
        <v>796</v>
      </c>
      <c r="D954" s="415">
        <v>41.478000000000009</v>
      </c>
    </row>
    <row r="955" spans="2:4" ht="15.75" customHeight="1" x14ac:dyDescent="0.25">
      <c r="B955" s="413"/>
      <c r="C955" s="414" t="s">
        <v>1435</v>
      </c>
      <c r="D955" s="415">
        <v>56.384</v>
      </c>
    </row>
    <row r="956" spans="2:4" ht="15.75" customHeight="1" x14ac:dyDescent="0.25">
      <c r="B956" s="413"/>
      <c r="C956" s="414" t="s">
        <v>1454</v>
      </c>
      <c r="D956" s="415">
        <v>228.08899999999997</v>
      </c>
    </row>
    <row r="957" spans="2:4" ht="15.75" customHeight="1" x14ac:dyDescent="0.25">
      <c r="B957" s="413" t="s">
        <v>1455</v>
      </c>
      <c r="C957" s="414" t="s">
        <v>1840</v>
      </c>
      <c r="D957" s="415">
        <v>11.731</v>
      </c>
    </row>
    <row r="958" spans="2:4" ht="15.75" customHeight="1" x14ac:dyDescent="0.25">
      <c r="B958" s="413"/>
      <c r="C958" s="414" t="s">
        <v>1456</v>
      </c>
      <c r="D958" s="415">
        <v>17.399000000000001</v>
      </c>
    </row>
    <row r="959" spans="2:4" ht="15.75" customHeight="1" x14ac:dyDescent="0.25">
      <c r="B959" s="413"/>
      <c r="C959" s="414" t="s">
        <v>796</v>
      </c>
      <c r="D959" s="415">
        <v>18.817</v>
      </c>
    </row>
    <row r="960" spans="2:4" ht="15.75" customHeight="1" x14ac:dyDescent="0.25">
      <c r="B960" s="413"/>
      <c r="C960" s="414" t="s">
        <v>1108</v>
      </c>
      <c r="D960" s="415">
        <v>15.780999999999999</v>
      </c>
    </row>
    <row r="961" spans="2:4" ht="15.75" customHeight="1" x14ac:dyDescent="0.25">
      <c r="B961" s="413"/>
      <c r="C961" s="414" t="s">
        <v>1433</v>
      </c>
      <c r="D961" s="415">
        <v>12.158000000000001</v>
      </c>
    </row>
    <row r="962" spans="2:4" ht="15.75" customHeight="1" x14ac:dyDescent="0.25">
      <c r="B962" s="413"/>
      <c r="C962" s="414" t="s">
        <v>1109</v>
      </c>
      <c r="D962" s="415">
        <v>2.5470000000000002</v>
      </c>
    </row>
    <row r="963" spans="2:4" ht="15.75" customHeight="1" x14ac:dyDescent="0.25">
      <c r="B963" s="413"/>
      <c r="C963" s="414" t="s">
        <v>1434</v>
      </c>
      <c r="D963" s="415">
        <v>3.7730000000000001</v>
      </c>
    </row>
    <row r="964" spans="2:4" ht="15.75" customHeight="1" x14ac:dyDescent="0.25">
      <c r="B964" s="413"/>
      <c r="C964" s="414" t="s">
        <v>1443</v>
      </c>
      <c r="D964" s="415">
        <v>11.025</v>
      </c>
    </row>
    <row r="965" spans="2:4" ht="15.75" customHeight="1" x14ac:dyDescent="0.25">
      <c r="B965" s="413" t="s">
        <v>1457</v>
      </c>
      <c r="C965" s="414" t="s">
        <v>1431</v>
      </c>
      <c r="D965" s="415">
        <v>5.165</v>
      </c>
    </row>
    <row r="966" spans="2:4" ht="15.75" customHeight="1" x14ac:dyDescent="0.25">
      <c r="B966" s="413"/>
      <c r="C966" s="414" t="s">
        <v>1456</v>
      </c>
      <c r="D966" s="415">
        <v>78.794000000000011</v>
      </c>
    </row>
    <row r="967" spans="2:4" ht="15.75" customHeight="1" x14ac:dyDescent="0.25">
      <c r="B967" s="413"/>
      <c r="C967" s="414" t="s">
        <v>1011</v>
      </c>
      <c r="D967" s="415">
        <v>5.6159999999999997</v>
      </c>
    </row>
    <row r="968" spans="2:4" ht="15.75" customHeight="1" x14ac:dyDescent="0.25">
      <c r="B968" s="413"/>
      <c r="C968" s="414" t="s">
        <v>1433</v>
      </c>
      <c r="D968" s="415">
        <v>12.957004716981132</v>
      </c>
    </row>
    <row r="969" spans="2:4" ht="15.75" customHeight="1" x14ac:dyDescent="0.25">
      <c r="B969" s="413" t="s">
        <v>1848</v>
      </c>
      <c r="C969" s="414" t="s">
        <v>796</v>
      </c>
      <c r="D969" s="415">
        <v>1.7829999999999999</v>
      </c>
    </row>
    <row r="970" spans="2:4" ht="15.75" customHeight="1" x14ac:dyDescent="0.25">
      <c r="B970" s="413"/>
      <c r="C970" s="414" t="s">
        <v>1433</v>
      </c>
      <c r="D970" s="415">
        <v>3.4430000000000001</v>
      </c>
    </row>
    <row r="971" spans="2:4" ht="15.75" customHeight="1" x14ac:dyDescent="0.25">
      <c r="B971" s="413"/>
      <c r="C971" s="414" t="s">
        <v>1109</v>
      </c>
      <c r="D971" s="415">
        <v>53.75</v>
      </c>
    </row>
    <row r="972" spans="2:4" ht="15.75" customHeight="1" x14ac:dyDescent="0.25">
      <c r="B972" s="413"/>
      <c r="C972" s="414" t="s">
        <v>1435</v>
      </c>
      <c r="D972" s="415">
        <v>72.744</v>
      </c>
    </row>
    <row r="973" spans="2:4" ht="15.75" customHeight="1" x14ac:dyDescent="0.25">
      <c r="B973" s="413" t="s">
        <v>1458</v>
      </c>
      <c r="C973" s="414" t="s">
        <v>796</v>
      </c>
      <c r="D973" s="415">
        <v>91.536792452830184</v>
      </c>
    </row>
    <row r="974" spans="2:4" ht="15.75" customHeight="1" x14ac:dyDescent="0.25">
      <c r="B974" s="413"/>
      <c r="C974" s="414" t="s">
        <v>1435</v>
      </c>
      <c r="D974" s="415">
        <v>100.98379433962265</v>
      </c>
    </row>
    <row r="975" spans="2:4" ht="15.75" customHeight="1" x14ac:dyDescent="0.25">
      <c r="B975" s="413"/>
      <c r="C975" s="414" t="s">
        <v>1437</v>
      </c>
      <c r="D975" s="415">
        <v>16.239429245283013</v>
      </c>
    </row>
    <row r="976" spans="2:4" ht="15.75" customHeight="1" x14ac:dyDescent="0.25">
      <c r="B976" s="413" t="s">
        <v>1849</v>
      </c>
      <c r="C976" s="414" t="s">
        <v>1108</v>
      </c>
      <c r="D976" s="415">
        <v>3.2240000000000002</v>
      </c>
    </row>
    <row r="977" spans="2:4" ht="15.75" customHeight="1" x14ac:dyDescent="0.25">
      <c r="B977" s="413"/>
      <c r="C977" s="414" t="s">
        <v>1433</v>
      </c>
      <c r="D977" s="415">
        <v>7.4879999999999995</v>
      </c>
    </row>
    <row r="978" spans="2:4" ht="15.75" customHeight="1" x14ac:dyDescent="0.25">
      <c r="B978" s="413"/>
      <c r="C978" s="414" t="s">
        <v>1189</v>
      </c>
      <c r="D978" s="415">
        <v>42.527999999999999</v>
      </c>
    </row>
    <row r="979" spans="2:4" ht="15.75" customHeight="1" x14ac:dyDescent="0.25">
      <c r="B979" s="413"/>
      <c r="C979" s="414" t="s">
        <v>1443</v>
      </c>
      <c r="D979" s="415">
        <v>49.461999999999996</v>
      </c>
    </row>
    <row r="980" spans="2:4" ht="15.75" customHeight="1" x14ac:dyDescent="0.25">
      <c r="B980" s="413" t="s">
        <v>1850</v>
      </c>
      <c r="C980" s="414" t="s">
        <v>1384</v>
      </c>
      <c r="D980" s="415">
        <v>6.9580000000000002</v>
      </c>
    </row>
    <row r="981" spans="2:4" ht="15.75" customHeight="1" x14ac:dyDescent="0.25">
      <c r="B981" s="413" t="s">
        <v>1460</v>
      </c>
      <c r="C981" s="414" t="s">
        <v>1104</v>
      </c>
      <c r="D981" s="415">
        <v>489.11400000000003</v>
      </c>
    </row>
    <row r="982" spans="2:4" ht="15.75" customHeight="1" x14ac:dyDescent="0.25">
      <c r="B982" s="413"/>
      <c r="C982" s="414" t="s">
        <v>1384</v>
      </c>
      <c r="D982" s="415">
        <v>4646.3069883522048</v>
      </c>
    </row>
    <row r="983" spans="2:4" ht="15.75" customHeight="1" x14ac:dyDescent="0.25">
      <c r="B983" s="413"/>
      <c r="C983" s="414" t="s">
        <v>1461</v>
      </c>
      <c r="D983" s="415">
        <v>30.621000000000002</v>
      </c>
    </row>
    <row r="984" spans="2:4" ht="15.75" customHeight="1" x14ac:dyDescent="0.25">
      <c r="B984" s="413" t="s">
        <v>1851</v>
      </c>
      <c r="C984" s="414" t="s">
        <v>807</v>
      </c>
      <c r="D984" s="415">
        <v>4.33</v>
      </c>
    </row>
    <row r="985" spans="2:4" ht="15.75" customHeight="1" x14ac:dyDescent="0.25">
      <c r="B985" s="413"/>
      <c r="C985" s="414" t="s">
        <v>1405</v>
      </c>
      <c r="D985" s="415">
        <v>3.09</v>
      </c>
    </row>
    <row r="986" spans="2:4" ht="15.75" customHeight="1" x14ac:dyDescent="0.25">
      <c r="B986" s="413"/>
      <c r="C986" s="414" t="s">
        <v>902</v>
      </c>
      <c r="D986" s="415">
        <v>2.2799999999999998</v>
      </c>
    </row>
    <row r="987" spans="2:4" ht="15.75" customHeight="1" x14ac:dyDescent="0.25">
      <c r="B987" s="413"/>
      <c r="C987" s="414" t="s">
        <v>993</v>
      </c>
      <c r="D987" s="415">
        <v>52.91</v>
      </c>
    </row>
    <row r="988" spans="2:4" ht="15.75" customHeight="1" x14ac:dyDescent="0.25">
      <c r="B988" s="413" t="s">
        <v>1852</v>
      </c>
      <c r="C988" s="414" t="s">
        <v>1853</v>
      </c>
      <c r="D988" s="415">
        <v>53.548622641509432</v>
      </c>
    </row>
    <row r="989" spans="2:4" ht="15.75" customHeight="1" x14ac:dyDescent="0.25">
      <c r="B989" s="413" t="s">
        <v>1854</v>
      </c>
      <c r="C989" s="414" t="s">
        <v>1477</v>
      </c>
      <c r="D989" s="415">
        <v>13.363</v>
      </c>
    </row>
    <row r="990" spans="2:4" ht="15.75" customHeight="1" x14ac:dyDescent="0.25">
      <c r="B990" s="413" t="s">
        <v>1462</v>
      </c>
      <c r="C990" s="414" t="s">
        <v>1235</v>
      </c>
      <c r="D990" s="415">
        <v>6.0410000000000004</v>
      </c>
    </row>
    <row r="991" spans="2:4" ht="15.75" customHeight="1" x14ac:dyDescent="0.25">
      <c r="B991" s="413" t="s">
        <v>1463</v>
      </c>
      <c r="C991" s="414" t="s">
        <v>1464</v>
      </c>
      <c r="D991" s="415">
        <v>1.9179999999999999</v>
      </c>
    </row>
    <row r="992" spans="2:4" ht="15.75" customHeight="1" x14ac:dyDescent="0.25">
      <c r="B992" s="413"/>
      <c r="C992" s="414" t="s">
        <v>1465</v>
      </c>
      <c r="D992" s="415">
        <v>362.78518490566023</v>
      </c>
    </row>
    <row r="993" spans="2:4" ht="15.75" customHeight="1" x14ac:dyDescent="0.25">
      <c r="B993" s="413"/>
      <c r="C993" s="414" t="s">
        <v>1466</v>
      </c>
      <c r="D993" s="415">
        <v>200.06523113207547</v>
      </c>
    </row>
    <row r="994" spans="2:4" ht="15.75" customHeight="1" x14ac:dyDescent="0.25">
      <c r="B994" s="413"/>
      <c r="C994" s="414" t="s">
        <v>1467</v>
      </c>
      <c r="D994" s="415">
        <v>7907.1923635955563</v>
      </c>
    </row>
    <row r="995" spans="2:4" ht="15.75" customHeight="1" x14ac:dyDescent="0.25">
      <c r="B995" s="413" t="s">
        <v>1468</v>
      </c>
      <c r="C995" s="414" t="s">
        <v>1535</v>
      </c>
      <c r="D995" s="415">
        <v>1.179</v>
      </c>
    </row>
    <row r="996" spans="2:4" ht="15.75" customHeight="1" x14ac:dyDescent="0.25">
      <c r="B996" s="413"/>
      <c r="C996" s="414" t="s">
        <v>1437</v>
      </c>
      <c r="D996" s="415">
        <v>584.5801339622642</v>
      </c>
    </row>
    <row r="997" spans="2:4" ht="15" customHeight="1" x14ac:dyDescent="0.25">
      <c r="B997" s="413" t="s">
        <v>1469</v>
      </c>
      <c r="C997" s="414" t="s">
        <v>1456</v>
      </c>
      <c r="D997" s="415">
        <v>2.4290094339622659</v>
      </c>
    </row>
    <row r="998" spans="2:4" ht="15" customHeight="1" x14ac:dyDescent="0.25">
      <c r="B998" s="413" t="s">
        <v>1855</v>
      </c>
      <c r="C998" s="414" t="s">
        <v>1235</v>
      </c>
      <c r="D998" s="415">
        <v>20.380999999999997</v>
      </c>
    </row>
    <row r="999" spans="2:4" ht="15" customHeight="1" x14ac:dyDescent="0.25">
      <c r="B999" s="413" t="s">
        <v>1471</v>
      </c>
      <c r="C999" s="414" t="s">
        <v>1472</v>
      </c>
      <c r="D999" s="415">
        <v>2.9151179245283014</v>
      </c>
    </row>
    <row r="1000" spans="2:4" ht="15" customHeight="1" x14ac:dyDescent="0.25">
      <c r="B1000" s="413"/>
      <c r="C1000" s="414" t="s">
        <v>1392</v>
      </c>
      <c r="D1000" s="415">
        <v>17.260353773584907</v>
      </c>
    </row>
    <row r="1001" spans="2:4" ht="15" customHeight="1" x14ac:dyDescent="0.25">
      <c r="B1001" s="413" t="s">
        <v>1473</v>
      </c>
      <c r="C1001" s="414" t="s">
        <v>1475</v>
      </c>
      <c r="D1001" s="415">
        <v>18.432000000000002</v>
      </c>
    </row>
    <row r="1002" spans="2:4" ht="15" customHeight="1" x14ac:dyDescent="0.25">
      <c r="B1002" s="413"/>
      <c r="C1002" s="414" t="s">
        <v>1856</v>
      </c>
      <c r="D1002" s="415">
        <v>0.27800000000000002</v>
      </c>
    </row>
    <row r="1003" spans="2:4" ht="15" customHeight="1" x14ac:dyDescent="0.25">
      <c r="B1003" s="413" t="s">
        <v>1476</v>
      </c>
      <c r="C1003" s="414" t="s">
        <v>1857</v>
      </c>
      <c r="D1003" s="415">
        <v>6.9380000000000006</v>
      </c>
    </row>
    <row r="1004" spans="2:4" ht="15" customHeight="1" x14ac:dyDescent="0.25">
      <c r="B1004" s="413" t="s">
        <v>1478</v>
      </c>
      <c r="C1004" s="414" t="s">
        <v>1479</v>
      </c>
      <c r="D1004" s="415">
        <v>1.643</v>
      </c>
    </row>
    <row r="1005" spans="2:4" ht="15" customHeight="1" x14ac:dyDescent="0.25">
      <c r="B1005" s="413"/>
      <c r="C1005" s="414" t="s">
        <v>1480</v>
      </c>
      <c r="D1005" s="415">
        <v>6.2798490566037737</v>
      </c>
    </row>
    <row r="1006" spans="2:4" ht="15" customHeight="1" x14ac:dyDescent="0.25">
      <c r="B1006" s="413"/>
      <c r="C1006" s="414" t="s">
        <v>1295</v>
      </c>
      <c r="D1006" s="415">
        <v>0.82</v>
      </c>
    </row>
    <row r="1007" spans="2:4" ht="15" customHeight="1" x14ac:dyDescent="0.25">
      <c r="B1007" s="413" t="s">
        <v>1481</v>
      </c>
      <c r="C1007" s="414" t="s">
        <v>1482</v>
      </c>
      <c r="D1007" s="415">
        <v>62.389679245283013</v>
      </c>
    </row>
    <row r="1008" spans="2:4" ht="15" customHeight="1" x14ac:dyDescent="0.25">
      <c r="B1008" s="413"/>
      <c r="C1008" s="414" t="s">
        <v>1049</v>
      </c>
      <c r="D1008" s="415">
        <v>659.76445503144657</v>
      </c>
    </row>
    <row r="1009" spans="2:4" ht="15" customHeight="1" x14ac:dyDescent="0.25">
      <c r="B1009" s="413"/>
      <c r="C1009" s="414" t="s">
        <v>1483</v>
      </c>
      <c r="D1009" s="415">
        <v>5.8630000000000004</v>
      </c>
    </row>
    <row r="1010" spans="2:4" ht="15" customHeight="1" x14ac:dyDescent="0.25">
      <c r="B1010" s="413"/>
      <c r="C1010" s="414" t="s">
        <v>1461</v>
      </c>
      <c r="D1010" s="415">
        <v>63.250805660377353</v>
      </c>
    </row>
    <row r="1011" spans="2:4" ht="15" customHeight="1" x14ac:dyDescent="0.25">
      <c r="B1011" s="413" t="s">
        <v>1484</v>
      </c>
      <c r="C1011" s="414" t="s">
        <v>1485</v>
      </c>
      <c r="D1011" s="415">
        <v>8.6829999999999998</v>
      </c>
    </row>
    <row r="1012" spans="2:4" ht="15" customHeight="1" x14ac:dyDescent="0.25">
      <c r="B1012" s="413" t="s">
        <v>1486</v>
      </c>
      <c r="C1012" s="414" t="s">
        <v>1115</v>
      </c>
      <c r="D1012" s="415">
        <v>15.869</v>
      </c>
    </row>
    <row r="1013" spans="2:4" ht="15" customHeight="1" x14ac:dyDescent="0.25">
      <c r="B1013" s="413" t="s">
        <v>1487</v>
      </c>
      <c r="C1013" s="414" t="s">
        <v>1364</v>
      </c>
      <c r="D1013" s="415">
        <v>165.76349999999988</v>
      </c>
    </row>
    <row r="1014" spans="2:4" ht="15" customHeight="1" x14ac:dyDescent="0.25">
      <c r="B1014" s="413"/>
      <c r="C1014" s="414" t="s">
        <v>1488</v>
      </c>
      <c r="D1014" s="415">
        <v>1896.6816927169818</v>
      </c>
    </row>
    <row r="1015" spans="2:4" ht="15" customHeight="1" x14ac:dyDescent="0.25">
      <c r="B1015" s="413" t="s">
        <v>1489</v>
      </c>
      <c r="C1015" s="414" t="s">
        <v>1491</v>
      </c>
      <c r="D1015" s="415">
        <v>8.5449999999999999</v>
      </c>
    </row>
    <row r="1016" spans="2:4" ht="15" customHeight="1" x14ac:dyDescent="0.25">
      <c r="B1016" s="413" t="s">
        <v>1493</v>
      </c>
      <c r="C1016" s="414" t="s">
        <v>1490</v>
      </c>
      <c r="D1016" s="415">
        <v>9.2782971698113208</v>
      </c>
    </row>
    <row r="1017" spans="2:4" ht="15" customHeight="1" x14ac:dyDescent="0.25">
      <c r="B1017" s="413" t="s">
        <v>1494</v>
      </c>
      <c r="C1017" s="414" t="s">
        <v>1181</v>
      </c>
      <c r="D1017" s="415">
        <v>41.565721698113215</v>
      </c>
    </row>
    <row r="1018" spans="2:4" ht="15" customHeight="1" x14ac:dyDescent="0.25">
      <c r="B1018" s="413" t="s">
        <v>1495</v>
      </c>
      <c r="C1018" s="414" t="s">
        <v>1496</v>
      </c>
      <c r="D1018" s="415">
        <v>15.478000000000002</v>
      </c>
    </row>
    <row r="1019" spans="2:4" ht="15" customHeight="1" x14ac:dyDescent="0.25">
      <c r="B1019" s="413" t="s">
        <v>1497</v>
      </c>
      <c r="C1019" s="414" t="s">
        <v>1499</v>
      </c>
      <c r="D1019" s="415">
        <v>2815.4685921327055</v>
      </c>
    </row>
    <row r="1020" spans="2:4" ht="15" customHeight="1" x14ac:dyDescent="0.25">
      <c r="B1020" s="413"/>
      <c r="C1020" s="414" t="s">
        <v>1500</v>
      </c>
      <c r="D1020" s="415">
        <v>86.262339622641505</v>
      </c>
    </row>
    <row r="1021" spans="2:4" ht="15" customHeight="1" x14ac:dyDescent="0.25">
      <c r="B1021" s="413"/>
      <c r="C1021" s="414" t="s">
        <v>1858</v>
      </c>
      <c r="D1021" s="415">
        <v>4.370000000000001</v>
      </c>
    </row>
    <row r="1022" spans="2:4" ht="15" customHeight="1" x14ac:dyDescent="0.25">
      <c r="B1022" s="413"/>
      <c r="C1022" s="414" t="s">
        <v>1248</v>
      </c>
      <c r="D1022" s="415">
        <v>3.077</v>
      </c>
    </row>
    <row r="1023" spans="2:4" ht="15" customHeight="1" x14ac:dyDescent="0.25">
      <c r="B1023" s="413" t="s">
        <v>1501</v>
      </c>
      <c r="C1023" s="414" t="s">
        <v>949</v>
      </c>
      <c r="D1023" s="415">
        <v>5.41</v>
      </c>
    </row>
    <row r="1024" spans="2:4" ht="15" customHeight="1" x14ac:dyDescent="0.25">
      <c r="B1024" s="413"/>
      <c r="C1024" s="414" t="s">
        <v>879</v>
      </c>
      <c r="D1024" s="415">
        <v>21.375</v>
      </c>
    </row>
    <row r="1025" spans="2:4" ht="15" customHeight="1" x14ac:dyDescent="0.25">
      <c r="B1025" s="413"/>
      <c r="C1025" s="414" t="s">
        <v>1405</v>
      </c>
      <c r="D1025" s="415">
        <v>6.8369999999999997</v>
      </c>
    </row>
    <row r="1026" spans="2:4" ht="15" customHeight="1" x14ac:dyDescent="0.25">
      <c r="B1026" s="413"/>
      <c r="C1026" s="414" t="s">
        <v>993</v>
      </c>
      <c r="D1026" s="415">
        <v>793.66263396226418</v>
      </c>
    </row>
    <row r="1027" spans="2:4" ht="15" customHeight="1" x14ac:dyDescent="0.25">
      <c r="B1027" s="413" t="s">
        <v>1506</v>
      </c>
      <c r="C1027" s="414" t="s">
        <v>1090</v>
      </c>
      <c r="D1027" s="415">
        <v>62.222981132075468</v>
      </c>
    </row>
    <row r="1028" spans="2:4" ht="15" customHeight="1" x14ac:dyDescent="0.25">
      <c r="B1028" s="413"/>
      <c r="C1028" s="414" t="s">
        <v>1859</v>
      </c>
      <c r="D1028" s="415">
        <v>101.50000000000001</v>
      </c>
    </row>
    <row r="1029" spans="2:4" ht="15" customHeight="1" x14ac:dyDescent="0.25">
      <c r="B1029" s="413"/>
      <c r="C1029" s="414" t="s">
        <v>894</v>
      </c>
      <c r="D1029" s="415">
        <v>106.172</v>
      </c>
    </row>
    <row r="1030" spans="2:4" ht="15" customHeight="1" x14ac:dyDescent="0.25">
      <c r="B1030" s="413"/>
      <c r="C1030" s="414" t="s">
        <v>1507</v>
      </c>
      <c r="D1030" s="415">
        <v>1910.9273713547173</v>
      </c>
    </row>
    <row r="1031" spans="2:4" ht="15" customHeight="1" x14ac:dyDescent="0.25">
      <c r="B1031" s="413"/>
      <c r="C1031" s="414" t="s">
        <v>1508</v>
      </c>
      <c r="D1031" s="415">
        <v>1411.4895905660387</v>
      </c>
    </row>
    <row r="1032" spans="2:4" ht="15" customHeight="1" x14ac:dyDescent="0.25">
      <c r="B1032" s="413" t="s">
        <v>1510</v>
      </c>
      <c r="C1032" s="414" t="s">
        <v>1511</v>
      </c>
      <c r="D1032" s="415">
        <v>4838.4123150943315</v>
      </c>
    </row>
    <row r="1033" spans="2:4" ht="15" customHeight="1" x14ac:dyDescent="0.25">
      <c r="B1033" s="413"/>
      <c r="C1033" s="414" t="s">
        <v>1512</v>
      </c>
      <c r="D1033" s="415">
        <v>1118.6465471698104</v>
      </c>
    </row>
    <row r="1034" spans="2:4" ht="15" customHeight="1" x14ac:dyDescent="0.25">
      <c r="B1034" s="413"/>
      <c r="C1034" s="414" t="s">
        <v>889</v>
      </c>
      <c r="D1034" s="415">
        <v>5.0975000000000001</v>
      </c>
    </row>
    <row r="1035" spans="2:4" ht="15" customHeight="1" x14ac:dyDescent="0.25">
      <c r="B1035" s="413"/>
      <c r="C1035" s="414" t="s">
        <v>892</v>
      </c>
      <c r="D1035" s="415">
        <v>60.678683962264166</v>
      </c>
    </row>
    <row r="1036" spans="2:4" ht="15" customHeight="1" x14ac:dyDescent="0.25">
      <c r="B1036" s="413"/>
      <c r="C1036" s="414" t="s">
        <v>1513</v>
      </c>
      <c r="D1036" s="415">
        <v>20.44619339622642</v>
      </c>
    </row>
    <row r="1037" spans="2:4" ht="15" customHeight="1" x14ac:dyDescent="0.25">
      <c r="B1037" s="413"/>
      <c r="C1037" s="414" t="s">
        <v>1514</v>
      </c>
      <c r="D1037" s="415">
        <v>52.183999999999997</v>
      </c>
    </row>
    <row r="1038" spans="2:4" ht="15" customHeight="1" x14ac:dyDescent="0.25">
      <c r="B1038" s="413"/>
      <c r="C1038" s="414" t="s">
        <v>894</v>
      </c>
      <c r="D1038" s="415">
        <v>33.544999999999995</v>
      </c>
    </row>
    <row r="1039" spans="2:4" ht="15" customHeight="1" x14ac:dyDescent="0.25">
      <c r="B1039" s="413" t="s">
        <v>1515</v>
      </c>
      <c r="C1039" s="414" t="s">
        <v>888</v>
      </c>
      <c r="D1039" s="415">
        <v>28.498999999999999</v>
      </c>
    </row>
    <row r="1040" spans="2:4" ht="15" customHeight="1" x14ac:dyDescent="0.25">
      <c r="B1040" s="413"/>
      <c r="C1040" s="414" t="s">
        <v>894</v>
      </c>
      <c r="D1040" s="415">
        <v>5.4390000000000001</v>
      </c>
    </row>
    <row r="1041" spans="2:4" ht="15" customHeight="1" x14ac:dyDescent="0.25">
      <c r="B1041" s="413"/>
      <c r="C1041" s="414" t="s">
        <v>1860</v>
      </c>
      <c r="D1041" s="415">
        <v>2.7410000000000001</v>
      </c>
    </row>
    <row r="1042" spans="2:4" ht="15" customHeight="1" x14ac:dyDescent="0.25">
      <c r="B1042" s="413"/>
      <c r="C1042" s="414" t="s">
        <v>1507</v>
      </c>
      <c r="D1042" s="415">
        <v>392.63613679245276</v>
      </c>
    </row>
    <row r="1043" spans="2:4" ht="15" customHeight="1" x14ac:dyDescent="0.25">
      <c r="B1043" s="413" t="s">
        <v>1516</v>
      </c>
      <c r="C1043" s="414" t="s">
        <v>1511</v>
      </c>
      <c r="D1043" s="415">
        <v>0.64900000000000002</v>
      </c>
    </row>
    <row r="1044" spans="2:4" ht="15" customHeight="1" x14ac:dyDescent="0.25">
      <c r="B1044" s="413" t="s">
        <v>1517</v>
      </c>
      <c r="C1044" s="414" t="s">
        <v>1055</v>
      </c>
      <c r="D1044" s="415">
        <v>9.5519622641509425</v>
      </c>
    </row>
    <row r="1045" spans="2:4" ht="15" customHeight="1" x14ac:dyDescent="0.25">
      <c r="B1045" s="413" t="s">
        <v>1861</v>
      </c>
      <c r="C1045" s="414" t="s">
        <v>1862</v>
      </c>
      <c r="D1045" s="415">
        <v>2.778</v>
      </c>
    </row>
    <row r="1046" spans="2:4" ht="15" customHeight="1" x14ac:dyDescent="0.25">
      <c r="B1046" s="413" t="s">
        <v>1518</v>
      </c>
      <c r="C1046" s="414" t="s">
        <v>1811</v>
      </c>
      <c r="D1046" s="415">
        <v>4.4960000000000004</v>
      </c>
    </row>
    <row r="1047" spans="2:4" ht="15" customHeight="1" x14ac:dyDescent="0.25">
      <c r="B1047" s="413"/>
      <c r="C1047" s="414" t="s">
        <v>1812</v>
      </c>
      <c r="D1047" s="415">
        <v>123.73300000000002</v>
      </c>
    </row>
    <row r="1048" spans="2:4" ht="15" customHeight="1" x14ac:dyDescent="0.25">
      <c r="B1048" s="413"/>
      <c r="C1048" s="414" t="s">
        <v>1863</v>
      </c>
      <c r="D1048" s="415">
        <v>52.558999999999997</v>
      </c>
    </row>
    <row r="1049" spans="2:4" ht="15" customHeight="1" x14ac:dyDescent="0.25">
      <c r="B1049" s="413"/>
      <c r="C1049" s="414" t="s">
        <v>1251</v>
      </c>
      <c r="D1049" s="415">
        <v>872.18999999999937</v>
      </c>
    </row>
    <row r="1050" spans="2:4" ht="15" customHeight="1" x14ac:dyDescent="0.25">
      <c r="B1050" s="413"/>
      <c r="C1050" s="414" t="s">
        <v>1864</v>
      </c>
      <c r="D1050" s="415">
        <v>8.3940000000000001</v>
      </c>
    </row>
    <row r="1051" spans="2:4" ht="15" customHeight="1" x14ac:dyDescent="0.25">
      <c r="B1051" s="413"/>
      <c r="C1051" s="414" t="s">
        <v>1124</v>
      </c>
      <c r="D1051" s="415">
        <v>195.63997641509448</v>
      </c>
    </row>
    <row r="1052" spans="2:4" ht="15" customHeight="1" x14ac:dyDescent="0.25">
      <c r="B1052" s="413" t="s">
        <v>1519</v>
      </c>
      <c r="C1052" s="414" t="s">
        <v>970</v>
      </c>
      <c r="D1052" s="415">
        <v>3.024</v>
      </c>
    </row>
    <row r="1053" spans="2:4" ht="15" customHeight="1" x14ac:dyDescent="0.25">
      <c r="B1053" s="413"/>
      <c r="C1053" s="414" t="s">
        <v>1667</v>
      </c>
      <c r="D1053" s="415">
        <v>1.752</v>
      </c>
    </row>
    <row r="1054" spans="2:4" ht="15" customHeight="1" x14ac:dyDescent="0.25">
      <c r="B1054" s="413"/>
      <c r="C1054" s="414" t="s">
        <v>1523</v>
      </c>
      <c r="D1054" s="415">
        <v>8.7279999999999998</v>
      </c>
    </row>
    <row r="1055" spans="2:4" ht="15" customHeight="1" x14ac:dyDescent="0.25">
      <c r="B1055" s="413"/>
      <c r="C1055" s="414" t="s">
        <v>949</v>
      </c>
      <c r="D1055" s="415">
        <v>113.84383962264151</v>
      </c>
    </row>
    <row r="1056" spans="2:4" ht="15" customHeight="1" x14ac:dyDescent="0.25">
      <c r="B1056" s="413"/>
      <c r="C1056" s="414" t="s">
        <v>950</v>
      </c>
      <c r="D1056" s="415">
        <v>273.65747944058484</v>
      </c>
    </row>
    <row r="1057" spans="2:4" ht="15" customHeight="1" x14ac:dyDescent="0.25">
      <c r="B1057" s="413"/>
      <c r="C1057" s="414" t="s">
        <v>1104</v>
      </c>
      <c r="D1057" s="415">
        <v>451.95911556603755</v>
      </c>
    </row>
    <row r="1058" spans="2:4" ht="15" customHeight="1" x14ac:dyDescent="0.25">
      <c r="B1058" s="413"/>
      <c r="C1058" s="414" t="s">
        <v>1520</v>
      </c>
      <c r="D1058" s="415">
        <v>525.35679622641442</v>
      </c>
    </row>
    <row r="1059" spans="2:4" ht="15" customHeight="1" x14ac:dyDescent="0.25">
      <c r="B1059" s="413"/>
      <c r="C1059" s="414" t="s">
        <v>1521</v>
      </c>
      <c r="D1059" s="415">
        <v>6.7590000000000003</v>
      </c>
    </row>
    <row r="1060" spans="2:4" ht="15" customHeight="1" x14ac:dyDescent="0.25">
      <c r="B1060" s="413"/>
      <c r="C1060" s="414" t="s">
        <v>1865</v>
      </c>
      <c r="D1060" s="415">
        <v>5.3380000000000001</v>
      </c>
    </row>
    <row r="1061" spans="2:4" ht="15" customHeight="1" x14ac:dyDescent="0.25">
      <c r="B1061" s="413"/>
      <c r="C1061" s="414" t="s">
        <v>1866</v>
      </c>
      <c r="D1061" s="415">
        <v>1.5192688679245281</v>
      </c>
    </row>
    <row r="1062" spans="2:4" ht="15" customHeight="1" x14ac:dyDescent="0.25">
      <c r="B1062" s="413"/>
      <c r="C1062" s="414" t="s">
        <v>1867</v>
      </c>
      <c r="D1062" s="415">
        <v>38.789000000000001</v>
      </c>
    </row>
    <row r="1063" spans="2:4" ht="15" customHeight="1" x14ac:dyDescent="0.25">
      <c r="B1063" s="413" t="s">
        <v>1522</v>
      </c>
      <c r="C1063" s="414" t="s">
        <v>1523</v>
      </c>
      <c r="D1063" s="415">
        <v>38.614999999999974</v>
      </c>
    </row>
    <row r="1064" spans="2:4" ht="15" customHeight="1" x14ac:dyDescent="0.25">
      <c r="B1064" s="413" t="s">
        <v>1524</v>
      </c>
      <c r="C1064" s="414" t="s">
        <v>1104</v>
      </c>
      <c r="D1064" s="415">
        <v>97.121424528301887</v>
      </c>
    </row>
    <row r="1065" spans="2:4" ht="15" customHeight="1" x14ac:dyDescent="0.25">
      <c r="B1065" s="413" t="s">
        <v>1525</v>
      </c>
      <c r="C1065" s="414" t="s">
        <v>1526</v>
      </c>
      <c r="D1065" s="415">
        <v>69.484999999999999</v>
      </c>
    </row>
    <row r="1066" spans="2:4" ht="15" customHeight="1" x14ac:dyDescent="0.25">
      <c r="B1066" s="413"/>
      <c r="C1066" s="414" t="s">
        <v>1868</v>
      </c>
      <c r="D1066" s="415">
        <v>2.448</v>
      </c>
    </row>
    <row r="1067" spans="2:4" ht="15" customHeight="1" x14ac:dyDescent="0.25">
      <c r="B1067" s="413"/>
      <c r="C1067" s="414" t="s">
        <v>1392</v>
      </c>
      <c r="D1067" s="415">
        <v>172.16299999999995</v>
      </c>
    </row>
    <row r="1068" spans="2:4" ht="15" customHeight="1" x14ac:dyDescent="0.25">
      <c r="B1068" s="413"/>
      <c r="C1068" s="414" t="s">
        <v>1869</v>
      </c>
      <c r="D1068" s="415">
        <v>18.003</v>
      </c>
    </row>
    <row r="1069" spans="2:4" ht="15" customHeight="1" x14ac:dyDescent="0.25">
      <c r="B1069" s="413"/>
      <c r="C1069" s="414" t="s">
        <v>932</v>
      </c>
      <c r="D1069" s="415">
        <v>111.81699999999999</v>
      </c>
    </row>
    <row r="1070" spans="2:4" ht="15" customHeight="1" x14ac:dyDescent="0.25">
      <c r="B1070" s="413"/>
      <c r="C1070" s="414" t="s">
        <v>1867</v>
      </c>
      <c r="D1070" s="415">
        <v>36.262</v>
      </c>
    </row>
    <row r="1071" spans="2:4" ht="15" customHeight="1" x14ac:dyDescent="0.25">
      <c r="B1071" s="413" t="s">
        <v>1527</v>
      </c>
      <c r="C1071" s="414" t="s">
        <v>1014</v>
      </c>
      <c r="D1071" s="415">
        <v>290.48787264150957</v>
      </c>
    </row>
    <row r="1072" spans="2:4" ht="15" customHeight="1" x14ac:dyDescent="0.25">
      <c r="B1072" s="413" t="s">
        <v>1870</v>
      </c>
      <c r="C1072" s="414" t="s">
        <v>803</v>
      </c>
      <c r="D1072" s="415">
        <v>11.389999999999999</v>
      </c>
    </row>
    <row r="1073" spans="2:4" ht="15" customHeight="1" x14ac:dyDescent="0.25">
      <c r="B1073" s="413" t="s">
        <v>1528</v>
      </c>
      <c r="C1073" s="414" t="s">
        <v>1535</v>
      </c>
      <c r="D1073" s="415">
        <v>0.69</v>
      </c>
    </row>
    <row r="1074" spans="2:4" ht="15" customHeight="1" x14ac:dyDescent="0.25">
      <c r="B1074" s="413"/>
      <c r="C1074" s="414" t="s">
        <v>1276</v>
      </c>
      <c r="D1074" s="415">
        <v>0.55699999999999994</v>
      </c>
    </row>
    <row r="1075" spans="2:4" ht="15" customHeight="1" x14ac:dyDescent="0.25">
      <c r="B1075" s="413"/>
      <c r="C1075" s="414" t="s">
        <v>1284</v>
      </c>
      <c r="D1075" s="415">
        <v>18.362000000000002</v>
      </c>
    </row>
    <row r="1076" spans="2:4" ht="15" customHeight="1" x14ac:dyDescent="0.25">
      <c r="B1076" s="413"/>
      <c r="C1076" s="414" t="s">
        <v>1529</v>
      </c>
      <c r="D1076" s="415">
        <v>38.129999999999995</v>
      </c>
    </row>
    <row r="1077" spans="2:4" ht="15" customHeight="1" x14ac:dyDescent="0.25">
      <c r="B1077" s="413"/>
      <c r="C1077" s="414" t="s">
        <v>1530</v>
      </c>
      <c r="D1077" s="415">
        <v>25.524999999999999</v>
      </c>
    </row>
    <row r="1078" spans="2:4" ht="15" customHeight="1" x14ac:dyDescent="0.25">
      <c r="B1078" s="413" t="s">
        <v>1531</v>
      </c>
      <c r="C1078" s="414" t="s">
        <v>798</v>
      </c>
      <c r="D1078" s="415">
        <v>6.3620000000000001</v>
      </c>
    </row>
    <row r="1079" spans="2:4" ht="15" customHeight="1" x14ac:dyDescent="0.25">
      <c r="B1079" s="413"/>
      <c r="C1079" s="414" t="s">
        <v>1532</v>
      </c>
      <c r="D1079" s="415">
        <v>8.947000000000001</v>
      </c>
    </row>
    <row r="1080" spans="2:4" ht="15" customHeight="1" x14ac:dyDescent="0.25">
      <c r="B1080" s="413"/>
      <c r="C1080" s="414" t="s">
        <v>932</v>
      </c>
      <c r="D1080" s="415">
        <v>0.378</v>
      </c>
    </row>
    <row r="1081" spans="2:4" ht="15" customHeight="1" x14ac:dyDescent="0.25">
      <c r="B1081" s="413" t="s">
        <v>1533</v>
      </c>
      <c r="C1081" s="414" t="s">
        <v>1075</v>
      </c>
      <c r="D1081" s="415">
        <v>5.702</v>
      </c>
    </row>
    <row r="1082" spans="2:4" ht="15" customHeight="1" x14ac:dyDescent="0.25">
      <c r="B1082" s="413"/>
      <c r="C1082" s="414" t="s">
        <v>1535</v>
      </c>
      <c r="D1082" s="415">
        <v>2.0419999999999998</v>
      </c>
    </row>
    <row r="1083" spans="2:4" ht="15" customHeight="1" x14ac:dyDescent="0.25">
      <c r="B1083" s="413"/>
      <c r="C1083" s="414" t="s">
        <v>1284</v>
      </c>
      <c r="D1083" s="415">
        <v>1.257853773584904</v>
      </c>
    </row>
    <row r="1084" spans="2:4" ht="15" customHeight="1" x14ac:dyDescent="0.25">
      <c r="B1084" s="413" t="s">
        <v>1871</v>
      </c>
      <c r="C1084" s="414" t="s">
        <v>1535</v>
      </c>
      <c r="D1084" s="415">
        <v>1.774</v>
      </c>
    </row>
    <row r="1085" spans="2:4" ht="15" customHeight="1" x14ac:dyDescent="0.25">
      <c r="B1085" s="413" t="s">
        <v>1534</v>
      </c>
      <c r="C1085" s="414" t="s">
        <v>1535</v>
      </c>
      <c r="D1085" s="415">
        <v>10.099415094339623</v>
      </c>
    </row>
    <row r="1086" spans="2:4" ht="15" customHeight="1" x14ac:dyDescent="0.25">
      <c r="B1086" s="413"/>
      <c r="C1086" s="414" t="s">
        <v>1536</v>
      </c>
      <c r="D1086" s="415">
        <v>10.266999999999999</v>
      </c>
    </row>
    <row r="1087" spans="2:4" ht="15" customHeight="1" x14ac:dyDescent="0.25">
      <c r="B1087" s="413" t="s">
        <v>1537</v>
      </c>
      <c r="C1087" s="414" t="s">
        <v>1302</v>
      </c>
      <c r="D1087" s="415">
        <v>55.702844339622651</v>
      </c>
    </row>
    <row r="1088" spans="2:4" ht="15" customHeight="1" x14ac:dyDescent="0.25">
      <c r="B1088" s="413" t="s">
        <v>1872</v>
      </c>
      <c r="C1088" s="414" t="s">
        <v>1873</v>
      </c>
      <c r="D1088" s="415">
        <v>3.5379999999999998</v>
      </c>
    </row>
    <row r="1089" spans="2:4" ht="15" customHeight="1" x14ac:dyDescent="0.25">
      <c r="B1089" s="413"/>
      <c r="C1089" s="414" t="s">
        <v>1731</v>
      </c>
      <c r="D1089" s="415">
        <v>18.608000000000001</v>
      </c>
    </row>
    <row r="1090" spans="2:4" ht="15" customHeight="1" x14ac:dyDescent="0.25">
      <c r="B1090" s="413"/>
      <c r="C1090" s="414" t="s">
        <v>1619</v>
      </c>
      <c r="D1090" s="415">
        <v>36.256</v>
      </c>
    </row>
    <row r="1091" spans="2:4" ht="15" customHeight="1" x14ac:dyDescent="0.25">
      <c r="B1091" s="413" t="s">
        <v>1874</v>
      </c>
      <c r="C1091" s="414" t="s">
        <v>1731</v>
      </c>
      <c r="D1091" s="415">
        <v>2.0419999999999998</v>
      </c>
    </row>
    <row r="1092" spans="2:4" ht="15" customHeight="1" x14ac:dyDescent="0.25">
      <c r="B1092" s="413" t="s">
        <v>1538</v>
      </c>
      <c r="C1092" s="414" t="s">
        <v>936</v>
      </c>
      <c r="D1092" s="415">
        <v>33.581000000000003</v>
      </c>
    </row>
    <row r="1093" spans="2:4" ht="15" customHeight="1" x14ac:dyDescent="0.25">
      <c r="B1093" s="413" t="s">
        <v>1539</v>
      </c>
      <c r="C1093" s="414" t="s">
        <v>1216</v>
      </c>
      <c r="D1093" s="415">
        <v>11.690333333333333</v>
      </c>
    </row>
    <row r="1094" spans="2:4" ht="15" customHeight="1" x14ac:dyDescent="0.25">
      <c r="B1094" s="413"/>
      <c r="C1094" s="414" t="s">
        <v>1217</v>
      </c>
      <c r="D1094" s="415">
        <v>43.570999999999991</v>
      </c>
    </row>
    <row r="1095" spans="2:4" ht="15" customHeight="1" x14ac:dyDescent="0.25">
      <c r="B1095" s="413"/>
      <c r="C1095" s="414" t="s">
        <v>1540</v>
      </c>
      <c r="D1095" s="415">
        <v>54.80642924528297</v>
      </c>
    </row>
    <row r="1096" spans="2:4" ht="15" customHeight="1" x14ac:dyDescent="0.25">
      <c r="B1096" s="413"/>
      <c r="C1096" s="414" t="s">
        <v>1421</v>
      </c>
      <c r="D1096" s="415">
        <v>12.282216981132072</v>
      </c>
    </row>
    <row r="1097" spans="2:4" ht="15" customHeight="1" x14ac:dyDescent="0.25">
      <c r="B1097" s="413"/>
      <c r="C1097" s="414" t="s">
        <v>1542</v>
      </c>
      <c r="D1097" s="415">
        <v>2.8429528301886799</v>
      </c>
    </row>
    <row r="1098" spans="2:4" ht="15" customHeight="1" x14ac:dyDescent="0.25">
      <c r="B1098" s="413" t="s">
        <v>1543</v>
      </c>
      <c r="C1098" s="414" t="s">
        <v>1542</v>
      </c>
      <c r="D1098" s="415">
        <v>91.447246855345981</v>
      </c>
    </row>
    <row r="1099" spans="2:4" ht="15" customHeight="1" x14ac:dyDescent="0.25">
      <c r="B1099" s="413" t="s">
        <v>1544</v>
      </c>
      <c r="C1099" s="414" t="s">
        <v>1313</v>
      </c>
      <c r="D1099" s="415">
        <v>204.94244999999992</v>
      </c>
    </row>
    <row r="1100" spans="2:4" ht="15" customHeight="1" x14ac:dyDescent="0.25">
      <c r="B1100" s="413"/>
      <c r="C1100" s="414" t="s">
        <v>1291</v>
      </c>
      <c r="D1100" s="415">
        <v>7.3360000000000003</v>
      </c>
    </row>
    <row r="1101" spans="2:4" ht="15" customHeight="1" x14ac:dyDescent="0.25">
      <c r="B1101" s="413"/>
      <c r="C1101" s="414" t="s">
        <v>1279</v>
      </c>
      <c r="D1101" s="415">
        <v>49.503711603773581</v>
      </c>
    </row>
    <row r="1102" spans="2:4" ht="15" customHeight="1" x14ac:dyDescent="0.25">
      <c r="B1102" s="413"/>
      <c r="C1102" s="414" t="s">
        <v>1413</v>
      </c>
      <c r="D1102" s="415">
        <v>445.42319842767262</v>
      </c>
    </row>
    <row r="1103" spans="2:4" ht="15" customHeight="1" x14ac:dyDescent="0.25">
      <c r="B1103" s="413" t="s">
        <v>1545</v>
      </c>
      <c r="C1103" s="414" t="s">
        <v>1006</v>
      </c>
      <c r="D1103" s="415">
        <v>11.568999999999999</v>
      </c>
    </row>
    <row r="1104" spans="2:4" ht="15" customHeight="1" x14ac:dyDescent="0.25">
      <c r="B1104" s="413" t="s">
        <v>1546</v>
      </c>
      <c r="C1104" s="414" t="s">
        <v>1547</v>
      </c>
      <c r="D1104" s="415">
        <v>14.778787735849061</v>
      </c>
    </row>
    <row r="1105" spans="2:4" ht="15" customHeight="1" x14ac:dyDescent="0.25">
      <c r="B1105" s="413"/>
      <c r="C1105" s="414" t="s">
        <v>1625</v>
      </c>
      <c r="D1105" s="415">
        <v>2.5090000000000003</v>
      </c>
    </row>
    <row r="1106" spans="2:4" ht="15" customHeight="1" x14ac:dyDescent="0.25">
      <c r="B1106" s="413" t="s">
        <v>1548</v>
      </c>
      <c r="C1106" s="414" t="s">
        <v>1216</v>
      </c>
      <c r="D1106" s="415">
        <v>33.975830188679261</v>
      </c>
    </row>
    <row r="1107" spans="2:4" ht="15" customHeight="1" x14ac:dyDescent="0.25">
      <c r="B1107" s="413"/>
      <c r="C1107" s="414" t="s">
        <v>1217</v>
      </c>
      <c r="D1107" s="415">
        <v>70.99199999999999</v>
      </c>
    </row>
    <row r="1108" spans="2:4" ht="15" customHeight="1" x14ac:dyDescent="0.25">
      <c r="B1108" s="413"/>
      <c r="C1108" s="414" t="s">
        <v>1549</v>
      </c>
      <c r="D1108" s="415">
        <v>7.8368142830188683</v>
      </c>
    </row>
    <row r="1109" spans="2:4" ht="15" customHeight="1" x14ac:dyDescent="0.25">
      <c r="B1109" s="413"/>
      <c r="C1109" s="414" t="s">
        <v>1540</v>
      </c>
      <c r="D1109" s="415">
        <v>27.186797169811314</v>
      </c>
    </row>
    <row r="1110" spans="2:4" ht="15" customHeight="1" x14ac:dyDescent="0.25">
      <c r="B1110" s="413"/>
      <c r="C1110" s="414" t="s">
        <v>1421</v>
      </c>
      <c r="D1110" s="415">
        <v>2.7269669811320751</v>
      </c>
    </row>
    <row r="1111" spans="2:4" ht="15" customHeight="1" x14ac:dyDescent="0.25">
      <c r="B1111" s="413"/>
      <c r="C1111" s="414" t="s">
        <v>1542</v>
      </c>
      <c r="D1111" s="415">
        <v>24.537023584905661</v>
      </c>
    </row>
    <row r="1112" spans="2:4" ht="15" customHeight="1" x14ac:dyDescent="0.25">
      <c r="B1112" s="413" t="s">
        <v>1550</v>
      </c>
      <c r="C1112" s="414" t="s">
        <v>1542</v>
      </c>
      <c r="D1112" s="415">
        <v>53.278905660377362</v>
      </c>
    </row>
    <row r="1113" spans="2:4" ht="15" customHeight="1" x14ac:dyDescent="0.25">
      <c r="B1113" s="413" t="s">
        <v>1551</v>
      </c>
      <c r="C1113" s="414" t="s">
        <v>1552</v>
      </c>
      <c r="D1113" s="415">
        <v>22.094000000000001</v>
      </c>
    </row>
    <row r="1114" spans="2:4" ht="15" customHeight="1" x14ac:dyDescent="0.25">
      <c r="B1114" s="413" t="s">
        <v>1875</v>
      </c>
      <c r="C1114" s="414" t="s">
        <v>1064</v>
      </c>
      <c r="D1114" s="415">
        <v>7.7759999999999998</v>
      </c>
    </row>
    <row r="1115" spans="2:4" ht="15" customHeight="1" x14ac:dyDescent="0.25">
      <c r="B1115" s="413"/>
      <c r="C1115" s="414" t="s">
        <v>846</v>
      </c>
      <c r="D1115" s="415">
        <v>16.839999999999996</v>
      </c>
    </row>
    <row r="1116" spans="2:4" ht="15" customHeight="1" x14ac:dyDescent="0.25">
      <c r="B1116" s="413"/>
      <c r="C1116" s="414" t="s">
        <v>1071</v>
      </c>
      <c r="D1116" s="415">
        <v>31.978000000000002</v>
      </c>
    </row>
    <row r="1117" spans="2:4" ht="15" customHeight="1" x14ac:dyDescent="0.25">
      <c r="B1117" s="413"/>
      <c r="C1117" s="414" t="s">
        <v>849</v>
      </c>
      <c r="D1117" s="415">
        <v>5.1849999999999996</v>
      </c>
    </row>
    <row r="1118" spans="2:4" ht="15" customHeight="1" x14ac:dyDescent="0.25">
      <c r="B1118" s="413"/>
      <c r="C1118" s="414" t="s">
        <v>850</v>
      </c>
      <c r="D1118" s="415">
        <v>5.55</v>
      </c>
    </row>
    <row r="1119" spans="2:4" ht="15" customHeight="1" x14ac:dyDescent="0.25">
      <c r="B1119" s="413" t="s">
        <v>1876</v>
      </c>
      <c r="C1119" s="414" t="s">
        <v>849</v>
      </c>
      <c r="D1119" s="415">
        <v>9.9350000000000005</v>
      </c>
    </row>
    <row r="1120" spans="2:4" ht="15" customHeight="1" x14ac:dyDescent="0.25">
      <c r="B1120" s="413" t="s">
        <v>1877</v>
      </c>
      <c r="C1120" s="414" t="s">
        <v>1816</v>
      </c>
      <c r="D1120" s="415">
        <v>10.111000000000001</v>
      </c>
    </row>
    <row r="1121" spans="2:4" ht="15" customHeight="1" x14ac:dyDescent="0.25">
      <c r="B1121" s="413"/>
      <c r="C1121" s="414" t="s">
        <v>787</v>
      </c>
      <c r="D1121" s="415">
        <v>0.63200000000000001</v>
      </c>
    </row>
    <row r="1122" spans="2:4" ht="15" customHeight="1" x14ac:dyDescent="0.25">
      <c r="B1122" s="413"/>
      <c r="C1122" s="414" t="s">
        <v>1649</v>
      </c>
      <c r="D1122" s="415">
        <v>27.419</v>
      </c>
    </row>
    <row r="1123" spans="2:4" ht="15" customHeight="1" x14ac:dyDescent="0.25">
      <c r="B1123" s="413" t="s">
        <v>1878</v>
      </c>
      <c r="C1123" s="414" t="s">
        <v>1095</v>
      </c>
      <c r="D1123" s="415">
        <v>35.210999999999999</v>
      </c>
    </row>
    <row r="1124" spans="2:4" ht="15" customHeight="1" x14ac:dyDescent="0.25">
      <c r="B1124" s="413" t="s">
        <v>1555</v>
      </c>
      <c r="C1124" s="414" t="s">
        <v>1349</v>
      </c>
      <c r="D1124" s="415">
        <v>1.0660000000000001</v>
      </c>
    </row>
    <row r="1125" spans="2:4" ht="15" customHeight="1" x14ac:dyDescent="0.25">
      <c r="B1125" s="413"/>
      <c r="C1125" s="414" t="s">
        <v>1014</v>
      </c>
      <c r="D1125" s="415">
        <v>64.346999999999994</v>
      </c>
    </row>
    <row r="1126" spans="2:4" ht="15" customHeight="1" x14ac:dyDescent="0.25">
      <c r="B1126" s="413"/>
      <c r="C1126" s="414" t="s">
        <v>1844</v>
      </c>
      <c r="D1126" s="415">
        <v>29.106000000000002</v>
      </c>
    </row>
    <row r="1127" spans="2:4" ht="15" customHeight="1" x14ac:dyDescent="0.25">
      <c r="B1127" s="413"/>
      <c r="C1127" s="414" t="s">
        <v>1012</v>
      </c>
      <c r="D1127" s="415">
        <v>56.449999999999996</v>
      </c>
    </row>
    <row r="1128" spans="2:4" ht="15" customHeight="1" x14ac:dyDescent="0.25">
      <c r="B1128" s="413"/>
      <c r="C1128" s="414" t="s">
        <v>1728</v>
      </c>
      <c r="D1128" s="415">
        <v>1.59</v>
      </c>
    </row>
    <row r="1129" spans="2:4" ht="15" customHeight="1" x14ac:dyDescent="0.25">
      <c r="B1129" s="413"/>
      <c r="C1129" s="414" t="s">
        <v>1761</v>
      </c>
      <c r="D1129" s="415">
        <v>3.5049999999999999</v>
      </c>
    </row>
    <row r="1130" spans="2:4" ht="15" customHeight="1" x14ac:dyDescent="0.25">
      <c r="B1130" s="413" t="s">
        <v>1879</v>
      </c>
      <c r="C1130" s="414" t="s">
        <v>1554</v>
      </c>
      <c r="D1130" s="415">
        <v>1.5621</v>
      </c>
    </row>
    <row r="1131" spans="2:4" ht="15" customHeight="1" x14ac:dyDescent="0.25">
      <c r="B1131" s="413" t="s">
        <v>1556</v>
      </c>
      <c r="C1131" s="414" t="s">
        <v>1248</v>
      </c>
      <c r="D1131" s="415">
        <v>3.323</v>
      </c>
    </row>
    <row r="1132" spans="2:4" ht="15" customHeight="1" x14ac:dyDescent="0.25">
      <c r="B1132" s="413"/>
      <c r="C1132" s="414" t="s">
        <v>1349</v>
      </c>
      <c r="D1132" s="415">
        <v>134.06799999999998</v>
      </c>
    </row>
    <row r="1133" spans="2:4" ht="15" customHeight="1" x14ac:dyDescent="0.25">
      <c r="B1133" s="413" t="s">
        <v>1557</v>
      </c>
      <c r="C1133" s="414" t="s">
        <v>1213</v>
      </c>
      <c r="D1133" s="415">
        <v>13.816000000000001</v>
      </c>
    </row>
    <row r="1134" spans="2:4" ht="15" customHeight="1" x14ac:dyDescent="0.25">
      <c r="B1134" s="413"/>
      <c r="C1134" s="414" t="s">
        <v>1643</v>
      </c>
      <c r="D1134" s="415">
        <v>90.91400000000003</v>
      </c>
    </row>
    <row r="1135" spans="2:4" ht="15" customHeight="1" x14ac:dyDescent="0.25">
      <c r="B1135" s="413"/>
      <c r="C1135" s="414" t="s">
        <v>1224</v>
      </c>
      <c r="D1135" s="415">
        <v>476.23265566037753</v>
      </c>
    </row>
    <row r="1136" spans="2:4" ht="15" customHeight="1" x14ac:dyDescent="0.25">
      <c r="B1136" s="413"/>
      <c r="C1136" s="414" t="s">
        <v>1558</v>
      </c>
      <c r="D1136" s="415">
        <v>13147.071414465399</v>
      </c>
    </row>
    <row r="1137" spans="2:4" ht="15" customHeight="1" x14ac:dyDescent="0.25">
      <c r="B1137" s="413"/>
      <c r="C1137" s="414" t="s">
        <v>1384</v>
      </c>
      <c r="D1137" s="415">
        <v>8758.4379103773554</v>
      </c>
    </row>
    <row r="1138" spans="2:4" ht="15" customHeight="1" x14ac:dyDescent="0.25">
      <c r="B1138" s="413"/>
      <c r="C1138" s="414" t="s">
        <v>1564</v>
      </c>
      <c r="D1138" s="415">
        <v>179.05600000000001</v>
      </c>
    </row>
    <row r="1139" spans="2:4" ht="15" customHeight="1" x14ac:dyDescent="0.25">
      <c r="B1139" s="413"/>
      <c r="C1139" s="414" t="s">
        <v>1055</v>
      </c>
      <c r="D1139" s="415">
        <v>731.52399999999989</v>
      </c>
    </row>
    <row r="1140" spans="2:4" ht="15" customHeight="1" x14ac:dyDescent="0.25">
      <c r="B1140" s="413" t="s">
        <v>1559</v>
      </c>
      <c r="C1140" s="414" t="s">
        <v>1224</v>
      </c>
      <c r="D1140" s="415">
        <v>496.61821069182429</v>
      </c>
    </row>
    <row r="1141" spans="2:4" ht="15" customHeight="1" x14ac:dyDescent="0.25">
      <c r="B1141" s="413"/>
      <c r="C1141" s="414" t="s">
        <v>1558</v>
      </c>
      <c r="D1141" s="415">
        <v>64.349858490566021</v>
      </c>
    </row>
    <row r="1142" spans="2:4" ht="15" customHeight="1" x14ac:dyDescent="0.25">
      <c r="B1142" s="413" t="s">
        <v>1880</v>
      </c>
      <c r="C1142" s="414" t="s">
        <v>1558</v>
      </c>
      <c r="D1142" s="415">
        <v>10.460768867924529</v>
      </c>
    </row>
    <row r="1143" spans="2:4" ht="15" customHeight="1" x14ac:dyDescent="0.25">
      <c r="B1143" s="413"/>
      <c r="C1143" s="414" t="s">
        <v>1384</v>
      </c>
      <c r="D1143" s="415">
        <v>149.20600000000002</v>
      </c>
    </row>
    <row r="1144" spans="2:4" ht="15" customHeight="1" x14ac:dyDescent="0.25">
      <c r="B1144" s="413" t="s">
        <v>1560</v>
      </c>
      <c r="C1144" s="414" t="s">
        <v>1558</v>
      </c>
      <c r="D1144" s="415">
        <v>33.449622641509436</v>
      </c>
    </row>
    <row r="1145" spans="2:4" ht="15" customHeight="1" x14ac:dyDescent="0.25">
      <c r="B1145" s="413"/>
      <c r="C1145" s="414" t="s">
        <v>1384</v>
      </c>
      <c r="D1145" s="415">
        <v>6.8719999999999999</v>
      </c>
    </row>
    <row r="1146" spans="2:4" ht="15" customHeight="1" x14ac:dyDescent="0.25">
      <c r="B1146" s="413" t="s">
        <v>1561</v>
      </c>
      <c r="C1146" s="414" t="s">
        <v>1224</v>
      </c>
      <c r="D1146" s="415">
        <v>94.998160377358488</v>
      </c>
    </row>
    <row r="1147" spans="2:4" ht="15" customHeight="1" x14ac:dyDescent="0.25">
      <c r="B1147" s="413" t="s">
        <v>1562</v>
      </c>
      <c r="C1147" s="414" t="s">
        <v>1558</v>
      </c>
      <c r="D1147" s="415">
        <v>85.715368867924539</v>
      </c>
    </row>
    <row r="1148" spans="2:4" ht="15" customHeight="1" x14ac:dyDescent="0.25">
      <c r="B1148" s="413"/>
      <c r="C1148" s="414" t="s">
        <v>1143</v>
      </c>
      <c r="D1148" s="415">
        <v>1.4790000000000001</v>
      </c>
    </row>
    <row r="1149" spans="2:4" ht="15" customHeight="1" x14ac:dyDescent="0.25">
      <c r="B1149" s="413" t="s">
        <v>1563</v>
      </c>
      <c r="C1149" s="414" t="s">
        <v>1881</v>
      </c>
      <c r="D1149" s="415">
        <v>1.9259999999999999</v>
      </c>
    </row>
    <row r="1150" spans="2:4" ht="15" customHeight="1" x14ac:dyDescent="0.25">
      <c r="B1150" s="413"/>
      <c r="C1150" s="414" t="s">
        <v>1224</v>
      </c>
      <c r="D1150" s="415">
        <v>2873.2373754716978</v>
      </c>
    </row>
    <row r="1151" spans="2:4" ht="15" customHeight="1" x14ac:dyDescent="0.25">
      <c r="B1151" s="413"/>
      <c r="C1151" s="414" t="s">
        <v>1558</v>
      </c>
      <c r="D1151" s="415">
        <v>8.92</v>
      </c>
    </row>
    <row r="1152" spans="2:4" ht="15" customHeight="1" x14ac:dyDescent="0.25">
      <c r="B1152" s="413"/>
      <c r="C1152" s="414" t="s">
        <v>1882</v>
      </c>
      <c r="D1152" s="415">
        <v>4.6929999999999996</v>
      </c>
    </row>
    <row r="1153" spans="2:4" ht="15" customHeight="1" x14ac:dyDescent="0.25">
      <c r="B1153" s="413"/>
      <c r="C1153" s="414" t="s">
        <v>1883</v>
      </c>
      <c r="D1153" s="415">
        <v>18.591000000000001</v>
      </c>
    </row>
    <row r="1154" spans="2:4" ht="15" customHeight="1" x14ac:dyDescent="0.25">
      <c r="B1154" s="413"/>
      <c r="C1154" s="414" t="s">
        <v>1384</v>
      </c>
      <c r="D1154" s="415">
        <v>109.8403066037736</v>
      </c>
    </row>
    <row r="1155" spans="2:4" ht="15" customHeight="1" x14ac:dyDescent="0.25">
      <c r="B1155" s="413"/>
      <c r="C1155" s="414" t="s">
        <v>1564</v>
      </c>
      <c r="D1155" s="415">
        <v>44.825000000000017</v>
      </c>
    </row>
    <row r="1156" spans="2:4" ht="15" customHeight="1" x14ac:dyDescent="0.25">
      <c r="B1156" s="413"/>
      <c r="C1156" s="414" t="s">
        <v>1055</v>
      </c>
      <c r="D1156" s="415">
        <v>10.487</v>
      </c>
    </row>
    <row r="1157" spans="2:4" ht="15" customHeight="1" x14ac:dyDescent="0.25">
      <c r="B1157" s="413" t="s">
        <v>1884</v>
      </c>
      <c r="C1157" s="414" t="s">
        <v>787</v>
      </c>
      <c r="D1157" s="415">
        <v>6.58</v>
      </c>
    </row>
    <row r="1158" spans="2:4" ht="15" customHeight="1" x14ac:dyDescent="0.25">
      <c r="B1158" s="413"/>
      <c r="C1158" s="414" t="s">
        <v>788</v>
      </c>
      <c r="D1158" s="415">
        <v>4.9630000000000001</v>
      </c>
    </row>
    <row r="1159" spans="2:4" ht="15" customHeight="1" x14ac:dyDescent="0.25">
      <c r="B1159" s="413" t="s">
        <v>1885</v>
      </c>
      <c r="C1159" s="414" t="s">
        <v>1067</v>
      </c>
      <c r="D1159" s="415">
        <v>14.57</v>
      </c>
    </row>
    <row r="1160" spans="2:4" ht="15" customHeight="1" x14ac:dyDescent="0.25">
      <c r="B1160" s="413"/>
      <c r="C1160" s="414" t="s">
        <v>787</v>
      </c>
      <c r="D1160" s="415">
        <v>162.62999999999997</v>
      </c>
    </row>
    <row r="1161" spans="2:4" ht="15" customHeight="1" x14ac:dyDescent="0.25">
      <c r="B1161" s="413"/>
      <c r="C1161" s="414" t="s">
        <v>788</v>
      </c>
      <c r="D1161" s="415">
        <v>67.88000000000001</v>
      </c>
    </row>
    <row r="1162" spans="2:4" ht="15" customHeight="1" x14ac:dyDescent="0.25">
      <c r="B1162" s="413"/>
      <c r="C1162" s="414" t="s">
        <v>845</v>
      </c>
      <c r="D1162" s="415">
        <v>74.06</v>
      </c>
    </row>
    <row r="1163" spans="2:4" ht="15" customHeight="1" x14ac:dyDescent="0.25">
      <c r="B1163" s="413"/>
      <c r="C1163" s="414" t="s">
        <v>1886</v>
      </c>
      <c r="D1163" s="415">
        <v>32.51</v>
      </c>
    </row>
    <row r="1164" spans="2:4" ht="15" customHeight="1" x14ac:dyDescent="0.25">
      <c r="B1164" s="413" t="s">
        <v>1887</v>
      </c>
      <c r="C1164" s="414" t="s">
        <v>1067</v>
      </c>
      <c r="D1164" s="415">
        <v>73.419999999999987</v>
      </c>
    </row>
    <row r="1165" spans="2:4" ht="15" customHeight="1" x14ac:dyDescent="0.25">
      <c r="B1165" s="413" t="s">
        <v>1888</v>
      </c>
      <c r="C1165" s="414" t="s">
        <v>787</v>
      </c>
      <c r="D1165" s="415">
        <v>205.57599999999999</v>
      </c>
    </row>
    <row r="1166" spans="2:4" ht="15" customHeight="1" x14ac:dyDescent="0.25">
      <c r="B1166" s="413"/>
      <c r="C1166" s="414" t="s">
        <v>788</v>
      </c>
      <c r="D1166" s="415">
        <v>83.28</v>
      </c>
    </row>
    <row r="1167" spans="2:4" ht="15" customHeight="1" x14ac:dyDescent="0.25">
      <c r="B1167" s="413" t="s">
        <v>1565</v>
      </c>
      <c r="C1167" s="414" t="s">
        <v>1566</v>
      </c>
      <c r="D1167" s="415">
        <v>9.7745999999999995</v>
      </c>
    </row>
    <row r="1168" spans="2:4" ht="15" customHeight="1" x14ac:dyDescent="0.25">
      <c r="B1168" s="413" t="s">
        <v>1567</v>
      </c>
      <c r="C1168" s="414" t="s">
        <v>1568</v>
      </c>
      <c r="D1168" s="415">
        <v>566.12051415094345</v>
      </c>
    </row>
    <row r="1169" spans="2:4" ht="15" customHeight="1" x14ac:dyDescent="0.25">
      <c r="B1169" s="413"/>
      <c r="C1169" s="414" t="s">
        <v>1569</v>
      </c>
      <c r="D1169" s="415">
        <v>6970.1371133358462</v>
      </c>
    </row>
    <row r="1170" spans="2:4" ht="15" customHeight="1" x14ac:dyDescent="0.25">
      <c r="B1170" s="413"/>
      <c r="C1170" s="414" t="s">
        <v>1570</v>
      </c>
      <c r="D1170" s="415">
        <v>39657.776146180855</v>
      </c>
    </row>
    <row r="1171" spans="2:4" ht="15" customHeight="1" x14ac:dyDescent="0.25">
      <c r="B1171" s="413"/>
      <c r="C1171" s="414" t="s">
        <v>1571</v>
      </c>
      <c r="D1171" s="415">
        <v>164.16656132075479</v>
      </c>
    </row>
    <row r="1172" spans="2:4" ht="15" customHeight="1" x14ac:dyDescent="0.25">
      <c r="B1172" s="413" t="s">
        <v>1574</v>
      </c>
      <c r="C1172" s="414" t="s">
        <v>1075</v>
      </c>
      <c r="D1172" s="415">
        <v>101.54900000000001</v>
      </c>
    </row>
    <row r="1173" spans="2:4" ht="15" customHeight="1" x14ac:dyDescent="0.25">
      <c r="B1173" s="413"/>
      <c r="C1173" s="414" t="s">
        <v>1889</v>
      </c>
      <c r="D1173" s="415">
        <v>6.0259999999999998</v>
      </c>
    </row>
    <row r="1174" spans="2:4" ht="15" customHeight="1" x14ac:dyDescent="0.25">
      <c r="B1174" s="413"/>
      <c r="C1174" s="414" t="s">
        <v>1890</v>
      </c>
      <c r="D1174" s="415">
        <v>3.5890000000000004</v>
      </c>
    </row>
    <row r="1175" spans="2:4" ht="15" customHeight="1" x14ac:dyDescent="0.25">
      <c r="B1175" s="413"/>
      <c r="C1175" s="414" t="s">
        <v>1209</v>
      </c>
      <c r="D1175" s="415">
        <v>64.696999999999989</v>
      </c>
    </row>
    <row r="1176" spans="2:4" ht="15" customHeight="1" x14ac:dyDescent="0.25">
      <c r="B1176" s="413"/>
      <c r="C1176" s="414" t="s">
        <v>1891</v>
      </c>
      <c r="D1176" s="415">
        <v>19.139000000000003</v>
      </c>
    </row>
    <row r="1177" spans="2:4" ht="15" customHeight="1" x14ac:dyDescent="0.25">
      <c r="B1177" s="413"/>
      <c r="C1177" s="414" t="s">
        <v>1167</v>
      </c>
      <c r="D1177" s="415">
        <v>545.87156132075518</v>
      </c>
    </row>
    <row r="1178" spans="2:4" ht="15" customHeight="1" x14ac:dyDescent="0.25">
      <c r="B1178" s="413"/>
      <c r="C1178" s="414" t="s">
        <v>1575</v>
      </c>
      <c r="D1178" s="415">
        <v>106.16799999999996</v>
      </c>
    </row>
    <row r="1179" spans="2:4" ht="15" customHeight="1" x14ac:dyDescent="0.25">
      <c r="B1179" s="413"/>
      <c r="C1179" s="414" t="s">
        <v>1576</v>
      </c>
      <c r="D1179" s="415">
        <v>25.242000000000004</v>
      </c>
    </row>
    <row r="1180" spans="2:4" ht="15" customHeight="1" x14ac:dyDescent="0.25">
      <c r="B1180" s="413"/>
      <c r="C1180" s="414" t="s">
        <v>1435</v>
      </c>
      <c r="D1180" s="415">
        <v>5.7240000000000002</v>
      </c>
    </row>
    <row r="1181" spans="2:4" ht="15" customHeight="1" x14ac:dyDescent="0.25">
      <c r="B1181" s="413" t="s">
        <v>1577</v>
      </c>
      <c r="C1181" s="414" t="s">
        <v>1075</v>
      </c>
      <c r="D1181" s="415">
        <v>9.2521981132075481</v>
      </c>
    </row>
    <row r="1182" spans="2:4" ht="15" customHeight="1" x14ac:dyDescent="0.25">
      <c r="B1182" s="413"/>
      <c r="C1182" s="414" t="s">
        <v>1209</v>
      </c>
      <c r="D1182" s="415">
        <v>0.50700000000000001</v>
      </c>
    </row>
    <row r="1183" spans="2:4" ht="15" customHeight="1" x14ac:dyDescent="0.25">
      <c r="B1183" s="413"/>
      <c r="C1183" s="414" t="s">
        <v>1167</v>
      </c>
      <c r="D1183" s="415">
        <v>3.832566037735849</v>
      </c>
    </row>
    <row r="1184" spans="2:4" ht="15" customHeight="1" x14ac:dyDescent="0.25">
      <c r="B1184" s="413"/>
      <c r="C1184" s="414" t="s">
        <v>1576</v>
      </c>
      <c r="D1184" s="415">
        <v>27.085999999999999</v>
      </c>
    </row>
    <row r="1185" spans="2:4" ht="15" customHeight="1" x14ac:dyDescent="0.25">
      <c r="B1185" s="413" t="s">
        <v>1578</v>
      </c>
      <c r="C1185" s="414" t="s">
        <v>1579</v>
      </c>
      <c r="D1185" s="415">
        <v>4.9409999999999998</v>
      </c>
    </row>
    <row r="1186" spans="2:4" ht="15" customHeight="1" x14ac:dyDescent="0.25">
      <c r="B1186" s="413" t="s">
        <v>1580</v>
      </c>
      <c r="C1186" s="414" t="s">
        <v>1581</v>
      </c>
      <c r="D1186" s="415">
        <v>662.1071745283017</v>
      </c>
    </row>
    <row r="1187" spans="2:4" ht="15" customHeight="1" x14ac:dyDescent="0.25">
      <c r="B1187" s="413"/>
      <c r="C1187" s="414" t="s">
        <v>1582</v>
      </c>
      <c r="D1187" s="415">
        <v>43.927990566037721</v>
      </c>
    </row>
    <row r="1188" spans="2:4" ht="15" customHeight="1" x14ac:dyDescent="0.25">
      <c r="B1188" s="413"/>
      <c r="C1188" s="414" t="s">
        <v>1122</v>
      </c>
      <c r="D1188" s="415">
        <v>61.190000000000005</v>
      </c>
    </row>
    <row r="1189" spans="2:4" ht="15" customHeight="1" x14ac:dyDescent="0.25">
      <c r="B1189" s="413"/>
      <c r="C1189" s="414" t="s">
        <v>931</v>
      </c>
      <c r="D1189" s="415">
        <v>2.1080000000000001</v>
      </c>
    </row>
    <row r="1190" spans="2:4" ht="15" customHeight="1" x14ac:dyDescent="0.25">
      <c r="B1190" s="413"/>
      <c r="C1190" s="414" t="s">
        <v>1205</v>
      </c>
      <c r="D1190" s="415">
        <v>5.319</v>
      </c>
    </row>
    <row r="1191" spans="2:4" ht="15" customHeight="1" x14ac:dyDescent="0.25">
      <c r="B1191" s="413" t="s">
        <v>1892</v>
      </c>
      <c r="C1191" s="414" t="s">
        <v>1893</v>
      </c>
      <c r="D1191" s="415">
        <v>6.2539999999999996</v>
      </c>
    </row>
    <row r="1192" spans="2:4" ht="15" customHeight="1" x14ac:dyDescent="0.25">
      <c r="B1192" s="413" t="s">
        <v>1894</v>
      </c>
      <c r="C1192" s="414" t="s">
        <v>932</v>
      </c>
      <c r="D1192" s="415">
        <v>8.9770000000000003</v>
      </c>
    </row>
    <row r="1193" spans="2:4" ht="15" customHeight="1" x14ac:dyDescent="0.25">
      <c r="B1193" s="413" t="s">
        <v>1585</v>
      </c>
      <c r="C1193" s="414" t="s">
        <v>986</v>
      </c>
      <c r="D1193" s="415">
        <v>3.4119999999999999</v>
      </c>
    </row>
    <row r="1194" spans="2:4" ht="15" customHeight="1" x14ac:dyDescent="0.25">
      <c r="B1194" s="413"/>
      <c r="C1194" s="414" t="s">
        <v>1325</v>
      </c>
      <c r="D1194" s="415">
        <v>0.50700000000000001</v>
      </c>
    </row>
    <row r="1195" spans="2:4" ht="15" customHeight="1" x14ac:dyDescent="0.25">
      <c r="B1195" s="413" t="s">
        <v>1586</v>
      </c>
      <c r="C1195" s="414" t="s">
        <v>997</v>
      </c>
      <c r="D1195" s="415">
        <v>341.28506792452828</v>
      </c>
    </row>
    <row r="1196" spans="2:4" ht="15" customHeight="1" x14ac:dyDescent="0.25">
      <c r="B1196" s="413" t="s">
        <v>1587</v>
      </c>
      <c r="C1196" s="414" t="s">
        <v>1588</v>
      </c>
      <c r="D1196" s="415">
        <v>181.36205000000001</v>
      </c>
    </row>
    <row r="1197" spans="2:4" ht="15" customHeight="1" x14ac:dyDescent="0.25">
      <c r="B1197" s="413"/>
      <c r="C1197" s="414" t="s">
        <v>1895</v>
      </c>
      <c r="D1197" s="415">
        <v>16.831676000000002</v>
      </c>
    </row>
    <row r="1198" spans="2:4" ht="15" customHeight="1" x14ac:dyDescent="0.25">
      <c r="B1198" s="413"/>
      <c r="C1198" s="414" t="s">
        <v>1589</v>
      </c>
      <c r="D1198" s="415">
        <v>500.90318396226394</v>
      </c>
    </row>
    <row r="1199" spans="2:4" ht="15" customHeight="1" x14ac:dyDescent="0.25">
      <c r="B1199" s="413"/>
      <c r="C1199" s="414" t="s">
        <v>1420</v>
      </c>
      <c r="D1199" s="415">
        <v>10.748000000000001</v>
      </c>
    </row>
    <row r="1200" spans="2:4" ht="15" customHeight="1" x14ac:dyDescent="0.25">
      <c r="B1200" s="413"/>
      <c r="C1200" s="414" t="s">
        <v>1591</v>
      </c>
      <c r="D1200" s="415">
        <v>1509.7079404087469</v>
      </c>
    </row>
    <row r="1201" spans="2:4" ht="15" customHeight="1" x14ac:dyDescent="0.25">
      <c r="B1201" s="413"/>
      <c r="C1201" s="414" t="s">
        <v>1896</v>
      </c>
      <c r="D1201" s="415">
        <v>23.61</v>
      </c>
    </row>
    <row r="1202" spans="2:4" ht="15" customHeight="1" x14ac:dyDescent="0.25">
      <c r="B1202" s="413"/>
      <c r="C1202" s="414" t="s">
        <v>570</v>
      </c>
      <c r="D1202" s="415">
        <v>55.736000000000011</v>
      </c>
    </row>
    <row r="1203" spans="2:4" ht="15" customHeight="1" x14ac:dyDescent="0.25">
      <c r="B1203" s="413"/>
      <c r="C1203" s="414" t="s">
        <v>1897</v>
      </c>
      <c r="D1203" s="415">
        <v>21.296000000000003</v>
      </c>
    </row>
    <row r="1204" spans="2:4" ht="15" customHeight="1" x14ac:dyDescent="0.25">
      <c r="B1204" s="413" t="s">
        <v>1898</v>
      </c>
      <c r="C1204" s="414" t="s">
        <v>1591</v>
      </c>
      <c r="D1204" s="415">
        <v>98.036315433962272</v>
      </c>
    </row>
    <row r="1205" spans="2:4" ht="15" customHeight="1" x14ac:dyDescent="0.25">
      <c r="B1205" s="413" t="s">
        <v>1592</v>
      </c>
      <c r="C1205" s="414" t="s">
        <v>1420</v>
      </c>
      <c r="D1205" s="415">
        <v>1.58299441509434</v>
      </c>
    </row>
    <row r="1206" spans="2:4" ht="15" customHeight="1" x14ac:dyDescent="0.25">
      <c r="B1206" s="413" t="s">
        <v>1899</v>
      </c>
      <c r="C1206" s="414" t="s">
        <v>1900</v>
      </c>
      <c r="D1206" s="415">
        <v>10.864000000000001</v>
      </c>
    </row>
    <row r="1207" spans="2:4" ht="15" customHeight="1" x14ac:dyDescent="0.25">
      <c r="B1207" s="413" t="s">
        <v>1901</v>
      </c>
      <c r="C1207" s="414" t="s">
        <v>796</v>
      </c>
      <c r="D1207" s="415">
        <v>30.327999999999999</v>
      </c>
    </row>
    <row r="1208" spans="2:4" ht="15" customHeight="1" x14ac:dyDescent="0.25">
      <c r="B1208" s="413" t="s">
        <v>1593</v>
      </c>
      <c r="C1208" s="414" t="s">
        <v>1902</v>
      </c>
      <c r="D1208" s="415">
        <v>9.7189999999999994</v>
      </c>
    </row>
    <row r="1209" spans="2:4" ht="15" customHeight="1" x14ac:dyDescent="0.25">
      <c r="B1209" s="413"/>
      <c r="C1209" s="414" t="s">
        <v>1903</v>
      </c>
      <c r="D1209" s="415">
        <v>6.8250000000000002</v>
      </c>
    </row>
    <row r="1210" spans="2:4" ht="15" customHeight="1" x14ac:dyDescent="0.25">
      <c r="B1210" s="413"/>
      <c r="C1210" s="414" t="s">
        <v>1594</v>
      </c>
      <c r="D1210" s="415">
        <v>22.106018867924526</v>
      </c>
    </row>
    <row r="1211" spans="2:4" ht="15" customHeight="1" x14ac:dyDescent="0.25">
      <c r="B1211" s="413"/>
      <c r="C1211" s="414" t="s">
        <v>1595</v>
      </c>
      <c r="D1211" s="415">
        <v>32.842910377358493</v>
      </c>
    </row>
    <row r="1212" spans="2:4" ht="15" customHeight="1" x14ac:dyDescent="0.25">
      <c r="B1212" s="413"/>
      <c r="C1212" s="414" t="s">
        <v>983</v>
      </c>
      <c r="D1212" s="415">
        <v>10.562000000000001</v>
      </c>
    </row>
    <row r="1213" spans="2:4" ht="15" customHeight="1" x14ac:dyDescent="0.25">
      <c r="B1213" s="413" t="s">
        <v>1602</v>
      </c>
      <c r="C1213" s="414" t="s">
        <v>1603</v>
      </c>
      <c r="D1213" s="415">
        <v>0.92499999999999993</v>
      </c>
    </row>
    <row r="1214" spans="2:4" ht="15" customHeight="1" x14ac:dyDescent="0.25">
      <c r="B1214" s="413" t="s">
        <v>1605</v>
      </c>
      <c r="C1214" s="414" t="s">
        <v>1904</v>
      </c>
      <c r="D1214" s="415">
        <v>101.47799999999999</v>
      </c>
    </row>
    <row r="1215" spans="2:4" ht="15" customHeight="1" x14ac:dyDescent="0.25">
      <c r="B1215" s="413" t="s">
        <v>1905</v>
      </c>
      <c r="C1215" s="414" t="s">
        <v>798</v>
      </c>
      <c r="D1215" s="415">
        <v>25.369999999999997</v>
      </c>
    </row>
    <row r="1216" spans="2:4" ht="15" customHeight="1" x14ac:dyDescent="0.25">
      <c r="B1216" s="413" t="s">
        <v>1607</v>
      </c>
      <c r="C1216" s="414" t="s">
        <v>1608</v>
      </c>
      <c r="D1216" s="415">
        <v>343.01600000000002</v>
      </c>
    </row>
    <row r="1217" spans="2:4" ht="15" customHeight="1" x14ac:dyDescent="0.25">
      <c r="B1217" s="413" t="s">
        <v>1609</v>
      </c>
      <c r="C1217" s="414" t="s">
        <v>1610</v>
      </c>
      <c r="D1217" s="415">
        <v>58223.344061612697</v>
      </c>
    </row>
    <row r="1218" spans="2:4" ht="15" customHeight="1" x14ac:dyDescent="0.25">
      <c r="B1218" s="413" t="s">
        <v>1611</v>
      </c>
      <c r="C1218" s="414" t="s">
        <v>1006</v>
      </c>
      <c r="D1218" s="415">
        <v>2.617</v>
      </c>
    </row>
    <row r="1219" spans="2:4" ht="15" customHeight="1" x14ac:dyDescent="0.25">
      <c r="B1219" s="413"/>
      <c r="C1219" s="414" t="s">
        <v>1119</v>
      </c>
      <c r="D1219" s="415">
        <v>5452.8240128553525</v>
      </c>
    </row>
    <row r="1220" spans="2:4" ht="15" customHeight="1" x14ac:dyDescent="0.25">
      <c r="B1220" s="413" t="s">
        <v>1612</v>
      </c>
      <c r="C1220" s="414" t="s">
        <v>1248</v>
      </c>
      <c r="D1220" s="415">
        <v>14.192</v>
      </c>
    </row>
    <row r="1221" spans="2:4" ht="15" customHeight="1" x14ac:dyDescent="0.25">
      <c r="B1221" s="413"/>
      <c r="C1221" s="414" t="s">
        <v>910</v>
      </c>
      <c r="D1221" s="415">
        <v>22.778051886792447</v>
      </c>
    </row>
    <row r="1222" spans="2:4" ht="15" customHeight="1" x14ac:dyDescent="0.25">
      <c r="B1222" s="413" t="s">
        <v>1906</v>
      </c>
      <c r="C1222" s="414" t="s">
        <v>1907</v>
      </c>
      <c r="D1222" s="415">
        <v>0.76100000000000001</v>
      </c>
    </row>
    <row r="1223" spans="2:4" ht="15" customHeight="1" x14ac:dyDescent="0.25">
      <c r="B1223" s="413" t="s">
        <v>1613</v>
      </c>
      <c r="C1223" s="414" t="s">
        <v>1019</v>
      </c>
      <c r="D1223" s="415">
        <v>263.08600943396215</v>
      </c>
    </row>
    <row r="1224" spans="2:4" ht="15" customHeight="1" x14ac:dyDescent="0.25">
      <c r="B1224" s="413"/>
      <c r="C1224" s="414" t="s">
        <v>1908</v>
      </c>
      <c r="D1224" s="415">
        <v>4.7880000000000003</v>
      </c>
    </row>
    <row r="1225" spans="2:4" ht="15" customHeight="1" x14ac:dyDescent="0.25">
      <c r="B1225" s="413" t="s">
        <v>1909</v>
      </c>
      <c r="C1225" s="414" t="s">
        <v>1461</v>
      </c>
      <c r="D1225" s="415">
        <v>2.2879999999999998</v>
      </c>
    </row>
    <row r="1226" spans="2:4" ht="15" customHeight="1" x14ac:dyDescent="0.25">
      <c r="B1226" s="413" t="s">
        <v>1614</v>
      </c>
      <c r="C1226" s="414" t="s">
        <v>1601</v>
      </c>
      <c r="D1226" s="415">
        <v>0.76400000000000001</v>
      </c>
    </row>
    <row r="1227" spans="2:4" ht="15" customHeight="1" x14ac:dyDescent="0.25">
      <c r="B1227" s="413"/>
      <c r="C1227" s="414" t="s">
        <v>1616</v>
      </c>
      <c r="D1227" s="415">
        <v>0.86599999999999999</v>
      </c>
    </row>
    <row r="1228" spans="2:4" ht="15" customHeight="1" x14ac:dyDescent="0.25">
      <c r="B1228" s="413" t="s">
        <v>1617</v>
      </c>
      <c r="C1228" s="414" t="s">
        <v>1618</v>
      </c>
      <c r="D1228" s="415">
        <v>11.604834905660381</v>
      </c>
    </row>
    <row r="1229" spans="2:4" ht="15" customHeight="1" x14ac:dyDescent="0.25">
      <c r="B1229" s="413"/>
      <c r="C1229" s="414" t="s">
        <v>1619</v>
      </c>
      <c r="D1229" s="415">
        <v>67.177419811320732</v>
      </c>
    </row>
    <row r="1230" spans="2:4" ht="15" customHeight="1" x14ac:dyDescent="0.25">
      <c r="B1230" s="413" t="s">
        <v>1910</v>
      </c>
      <c r="C1230" s="414" t="s">
        <v>1911</v>
      </c>
      <c r="D1230" s="415">
        <v>19.045000000000002</v>
      </c>
    </row>
    <row r="1231" spans="2:4" ht="15" customHeight="1" x14ac:dyDescent="0.25">
      <c r="B1231" s="413" t="s">
        <v>1620</v>
      </c>
      <c r="C1231" s="414" t="s">
        <v>1912</v>
      </c>
      <c r="D1231" s="415">
        <v>8.3710000000000004</v>
      </c>
    </row>
    <row r="1232" spans="2:4" ht="15" customHeight="1" x14ac:dyDescent="0.25">
      <c r="B1232" s="413" t="s">
        <v>1621</v>
      </c>
      <c r="C1232" s="414" t="s">
        <v>1622</v>
      </c>
      <c r="D1232" s="415">
        <v>264.86418867924527</v>
      </c>
    </row>
    <row r="1233" spans="2:4" ht="15" customHeight="1" x14ac:dyDescent="0.25">
      <c r="B1233" s="413" t="s">
        <v>1913</v>
      </c>
      <c r="C1233" s="414" t="s">
        <v>1313</v>
      </c>
      <c r="D1233" s="415">
        <v>1.224</v>
      </c>
    </row>
    <row r="1234" spans="2:4" ht="15" customHeight="1" x14ac:dyDescent="0.25">
      <c r="B1234" s="413" t="s">
        <v>1623</v>
      </c>
      <c r="C1234" s="414" t="s">
        <v>1547</v>
      </c>
      <c r="D1234" s="415">
        <v>16.073</v>
      </c>
    </row>
    <row r="1235" spans="2:4" ht="15" customHeight="1" x14ac:dyDescent="0.25">
      <c r="B1235" s="413"/>
      <c r="C1235" s="414" t="s">
        <v>1624</v>
      </c>
      <c r="D1235" s="415">
        <v>28.607000000000003</v>
      </c>
    </row>
    <row r="1236" spans="2:4" ht="15" customHeight="1" x14ac:dyDescent="0.25">
      <c r="B1236" s="413"/>
      <c r="C1236" s="414" t="s">
        <v>1625</v>
      </c>
      <c r="D1236" s="415">
        <v>30.319452830188673</v>
      </c>
    </row>
    <row r="1237" spans="2:4" ht="15" customHeight="1" x14ac:dyDescent="0.25">
      <c r="B1237" s="413"/>
      <c r="C1237" s="414" t="s">
        <v>1627</v>
      </c>
      <c r="D1237" s="415">
        <v>2.5081682389937101</v>
      </c>
    </row>
    <row r="1238" spans="2:4" ht="15" customHeight="1" x14ac:dyDescent="0.25">
      <c r="B1238" s="413" t="s">
        <v>1628</v>
      </c>
      <c r="C1238" s="414" t="s">
        <v>1629</v>
      </c>
      <c r="D1238" s="415">
        <v>11.157</v>
      </c>
    </row>
    <row r="1239" spans="2:4" ht="15" customHeight="1" x14ac:dyDescent="0.25">
      <c r="B1239" s="413" t="s">
        <v>1630</v>
      </c>
      <c r="C1239" s="414" t="s">
        <v>986</v>
      </c>
      <c r="D1239" s="415">
        <v>287.27117924528301</v>
      </c>
    </row>
    <row r="1240" spans="2:4" ht="15" customHeight="1" x14ac:dyDescent="0.25">
      <c r="B1240" s="413"/>
      <c r="C1240" s="414" t="s">
        <v>987</v>
      </c>
      <c r="D1240" s="415">
        <v>82.415999999999968</v>
      </c>
    </row>
    <row r="1241" spans="2:4" ht="15" customHeight="1" x14ac:dyDescent="0.25">
      <c r="B1241" s="413"/>
      <c r="C1241" s="414" t="s">
        <v>1325</v>
      </c>
      <c r="D1241" s="415">
        <v>704.82184433962288</v>
      </c>
    </row>
    <row r="1242" spans="2:4" ht="15" customHeight="1" x14ac:dyDescent="0.25">
      <c r="B1242" s="413"/>
      <c r="C1242" s="414" t="s">
        <v>1631</v>
      </c>
      <c r="D1242" s="415">
        <v>8.4481132075471699</v>
      </c>
    </row>
    <row r="1243" spans="2:4" ht="15" customHeight="1" x14ac:dyDescent="0.25">
      <c r="B1243" s="413"/>
      <c r="C1243" s="414" t="s">
        <v>988</v>
      </c>
      <c r="D1243" s="415">
        <v>1.202</v>
      </c>
    </row>
    <row r="1244" spans="2:4" ht="15" customHeight="1" x14ac:dyDescent="0.25">
      <c r="B1244" s="413"/>
      <c r="C1244" s="414" t="s">
        <v>1326</v>
      </c>
      <c r="D1244" s="415">
        <v>6.585</v>
      </c>
    </row>
    <row r="1245" spans="2:4" ht="15" customHeight="1" x14ac:dyDescent="0.25">
      <c r="B1245" s="413"/>
      <c r="C1245" s="414" t="s">
        <v>932</v>
      </c>
      <c r="D1245" s="415">
        <v>3115.2701976386807</v>
      </c>
    </row>
    <row r="1246" spans="2:4" ht="15" customHeight="1" x14ac:dyDescent="0.25">
      <c r="B1246" s="413" t="s">
        <v>1632</v>
      </c>
      <c r="C1246" s="414" t="s">
        <v>986</v>
      </c>
      <c r="D1246" s="415">
        <v>0.16700000000000001</v>
      </c>
    </row>
    <row r="1247" spans="2:4" ht="15" customHeight="1" x14ac:dyDescent="0.25">
      <c r="B1247" s="413"/>
      <c r="C1247" s="414" t="s">
        <v>1325</v>
      </c>
      <c r="D1247" s="415">
        <v>1013.2782896226419</v>
      </c>
    </row>
    <row r="1248" spans="2:4" ht="15" customHeight="1" x14ac:dyDescent="0.25">
      <c r="B1248" s="413" t="s">
        <v>1914</v>
      </c>
      <c r="C1248" s="414" t="s">
        <v>932</v>
      </c>
      <c r="D1248" s="415">
        <v>1.2989999999999999</v>
      </c>
    </row>
    <row r="1249" spans="2:4" ht="15" customHeight="1" x14ac:dyDescent="0.25">
      <c r="B1249" s="413" t="s">
        <v>1915</v>
      </c>
      <c r="C1249" s="414" t="s">
        <v>822</v>
      </c>
      <c r="D1249" s="415">
        <v>5.1180000000000003</v>
      </c>
    </row>
    <row r="1250" spans="2:4" ht="15" customHeight="1" x14ac:dyDescent="0.25">
      <c r="B1250" s="413"/>
      <c r="C1250" s="414" t="s">
        <v>924</v>
      </c>
      <c r="D1250" s="415">
        <v>3.5539999999999998</v>
      </c>
    </row>
    <row r="1251" spans="2:4" ht="15" customHeight="1" x14ac:dyDescent="0.25">
      <c r="B1251" s="413"/>
      <c r="C1251" s="414" t="s">
        <v>1086</v>
      </c>
      <c r="D1251" s="415">
        <v>1.55</v>
      </c>
    </row>
    <row r="1252" spans="2:4" ht="15" customHeight="1" x14ac:dyDescent="0.25">
      <c r="B1252" s="413" t="s">
        <v>1633</v>
      </c>
      <c r="C1252" s="414" t="s">
        <v>1191</v>
      </c>
      <c r="D1252" s="415">
        <v>5379.6821037169857</v>
      </c>
    </row>
    <row r="1253" spans="2:4" ht="15" customHeight="1" x14ac:dyDescent="0.25">
      <c r="B1253" s="413"/>
      <c r="C1253" s="414" t="s">
        <v>1916</v>
      </c>
      <c r="D1253" s="415">
        <v>17.648</v>
      </c>
    </row>
    <row r="1254" spans="2:4" ht="15" customHeight="1" x14ac:dyDescent="0.25">
      <c r="B1254" s="413" t="s">
        <v>1634</v>
      </c>
      <c r="C1254" s="414" t="s">
        <v>1432</v>
      </c>
      <c r="D1254" s="415">
        <v>2.7774371069182386</v>
      </c>
    </row>
    <row r="1255" spans="2:4" ht="15" customHeight="1" x14ac:dyDescent="0.25">
      <c r="B1255" s="413" t="s">
        <v>1635</v>
      </c>
      <c r="C1255" s="414" t="s">
        <v>1430</v>
      </c>
      <c r="D1255" s="415">
        <v>21.023999999999997</v>
      </c>
    </row>
    <row r="1256" spans="2:4" ht="15" customHeight="1" x14ac:dyDescent="0.25">
      <c r="B1256" s="413"/>
      <c r="C1256" s="414" t="s">
        <v>1917</v>
      </c>
      <c r="D1256" s="415">
        <v>61.527000000000001</v>
      </c>
    </row>
    <row r="1257" spans="2:4" ht="15" customHeight="1" x14ac:dyDescent="0.25">
      <c r="B1257" s="413"/>
      <c r="C1257" s="414" t="s">
        <v>1456</v>
      </c>
      <c r="D1257" s="415">
        <v>2.2050000000000001</v>
      </c>
    </row>
    <row r="1258" spans="2:4" ht="15" customHeight="1" x14ac:dyDescent="0.25">
      <c r="B1258" s="413"/>
      <c r="C1258" s="414" t="s">
        <v>1369</v>
      </c>
      <c r="D1258" s="415">
        <v>0.877</v>
      </c>
    </row>
    <row r="1259" spans="2:4" ht="15" customHeight="1" x14ac:dyDescent="0.25">
      <c r="B1259" s="413"/>
      <c r="C1259" s="414" t="s">
        <v>1433</v>
      </c>
      <c r="D1259" s="415">
        <v>2.6419999999999999</v>
      </c>
    </row>
    <row r="1260" spans="2:4" ht="15" customHeight="1" x14ac:dyDescent="0.25">
      <c r="B1260" s="413"/>
      <c r="C1260" s="414" t="s">
        <v>1189</v>
      </c>
      <c r="D1260" s="415">
        <v>18.459259433962263</v>
      </c>
    </row>
    <row r="1261" spans="2:4" ht="15" customHeight="1" x14ac:dyDescent="0.25">
      <c r="B1261" s="413" t="s">
        <v>1918</v>
      </c>
      <c r="C1261" s="414" t="s">
        <v>879</v>
      </c>
      <c r="D1261" s="415">
        <v>27.997</v>
      </c>
    </row>
    <row r="1262" spans="2:4" ht="15" customHeight="1" x14ac:dyDescent="0.25">
      <c r="B1262" s="413" t="s">
        <v>1636</v>
      </c>
      <c r="C1262" s="414" t="s">
        <v>1637</v>
      </c>
      <c r="D1262" s="415">
        <v>1.9650000000000001</v>
      </c>
    </row>
    <row r="1263" spans="2:4" ht="15" customHeight="1" x14ac:dyDescent="0.25">
      <c r="B1263" s="413"/>
      <c r="C1263" s="414" t="s">
        <v>1638</v>
      </c>
      <c r="D1263" s="415">
        <v>2.4430000000000001</v>
      </c>
    </row>
    <row r="1264" spans="2:4" ht="15" customHeight="1" x14ac:dyDescent="0.25">
      <c r="B1264" s="413"/>
      <c r="C1264" s="414" t="s">
        <v>1202</v>
      </c>
      <c r="D1264" s="415">
        <v>39.658580188679224</v>
      </c>
    </row>
    <row r="1265" spans="2:4" ht="15" customHeight="1" x14ac:dyDescent="0.25">
      <c r="B1265" s="413" t="s">
        <v>1639</v>
      </c>
      <c r="C1265" s="414" t="s">
        <v>1640</v>
      </c>
      <c r="D1265" s="415">
        <v>2.7915566037735835</v>
      </c>
    </row>
    <row r="1266" spans="2:4" ht="15" customHeight="1" x14ac:dyDescent="0.25">
      <c r="B1266" s="413"/>
      <c r="C1266" s="414" t="s">
        <v>1919</v>
      </c>
      <c r="D1266" s="415">
        <v>4.7990000000000004</v>
      </c>
    </row>
    <row r="1267" spans="2:4" ht="15" customHeight="1" x14ac:dyDescent="0.25">
      <c r="B1267" s="413" t="s">
        <v>1641</v>
      </c>
      <c r="C1267" s="414" t="s">
        <v>1558</v>
      </c>
      <c r="D1267" s="415">
        <v>29.623999999999999</v>
      </c>
    </row>
    <row r="1268" spans="2:4" ht="15" customHeight="1" x14ac:dyDescent="0.25">
      <c r="B1268" s="413" t="s">
        <v>1642</v>
      </c>
      <c r="C1268" s="414" t="s">
        <v>1643</v>
      </c>
      <c r="D1268" s="415">
        <v>9.5839999999999996</v>
      </c>
    </row>
    <row r="1269" spans="2:4" ht="15" customHeight="1" x14ac:dyDescent="0.25">
      <c r="B1269" s="413"/>
      <c r="C1269" s="414" t="s">
        <v>1224</v>
      </c>
      <c r="D1269" s="415">
        <v>124.57900000000001</v>
      </c>
    </row>
    <row r="1270" spans="2:4" ht="15" customHeight="1" x14ac:dyDescent="0.25">
      <c r="B1270" s="413"/>
      <c r="C1270" s="414" t="s">
        <v>1564</v>
      </c>
      <c r="D1270" s="415">
        <v>2.7080000000000002</v>
      </c>
    </row>
    <row r="1271" spans="2:4" ht="15" customHeight="1" x14ac:dyDescent="0.25">
      <c r="B1271" s="413"/>
      <c r="C1271" s="414" t="s">
        <v>1055</v>
      </c>
      <c r="D1271" s="415">
        <v>15.02</v>
      </c>
    </row>
    <row r="1272" spans="2:4" ht="15" customHeight="1" x14ac:dyDescent="0.25">
      <c r="B1272" s="434"/>
      <c r="C1272" s="435" t="s">
        <v>1920</v>
      </c>
      <c r="D1272" s="436">
        <v>31.820000000000004</v>
      </c>
    </row>
    <row r="1273" spans="2:4" ht="15" customHeight="1" x14ac:dyDescent="0.25">
      <c r="B1273" s="437" t="s">
        <v>1921</v>
      </c>
      <c r="C1273" s="438"/>
      <c r="D1273" s="439">
        <f>SUM(D34:D1272)</f>
        <v>771299.94673635589</v>
      </c>
    </row>
  </sheetData>
  <hyperlinks>
    <hyperlink ref="A1" location="INDICE!A1" display="(Ir al Índice)" xr:uid="{67B05F91-7BB2-460C-BEA5-AF947789CFFB}"/>
  </hyperlinks>
  <printOptions horizontalCentered="1"/>
  <pageMargins left="0.78740157480314965" right="0.78740157480314965" top="0.59055118110236227" bottom="0.78740157480314965" header="0" footer="0"/>
  <pageSetup paperSize="9" orientation="portrait"/>
  <headerFooter>
    <oddFooter>&amp;R 6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E0B3"/>
  </sheetPr>
  <dimension ref="A1:E12"/>
  <sheetViews>
    <sheetView showGridLines="0" workbookViewId="0">
      <selection activeCell="C16" sqref="C16"/>
    </sheetView>
  </sheetViews>
  <sheetFormatPr baseColWidth="10" defaultColWidth="14.42578125" defaultRowHeight="15" customHeight="1" x14ac:dyDescent="0.25"/>
  <cols>
    <col min="1" max="1" width="4.28515625" customWidth="1"/>
    <col min="2" max="2" width="17.42578125" customWidth="1"/>
    <col min="3" max="3" width="21.85546875" customWidth="1"/>
    <col min="4" max="4" width="31.28515625" customWidth="1"/>
    <col min="5" max="5" width="17" customWidth="1"/>
    <col min="6" max="26" width="11.42578125" customWidth="1"/>
  </cols>
  <sheetData>
    <row r="1" spans="1:5" ht="12" customHeight="1" x14ac:dyDescent="0.25">
      <c r="A1" s="78" t="s">
        <v>43</v>
      </c>
      <c r="B1" s="47"/>
      <c r="C1" s="18"/>
      <c r="D1" s="18"/>
      <c r="E1" s="54"/>
    </row>
    <row r="2" spans="1:5" ht="12" customHeight="1" x14ac:dyDescent="0.25">
      <c r="A2" s="5"/>
      <c r="B2" s="47"/>
      <c r="C2" s="18"/>
      <c r="D2" s="18"/>
      <c r="E2" s="54"/>
    </row>
    <row r="3" spans="1:5" ht="13.5" customHeight="1" x14ac:dyDescent="0.25">
      <c r="B3" s="4" t="s">
        <v>24</v>
      </c>
      <c r="C3" s="53"/>
      <c r="D3" s="53"/>
      <c r="E3" s="55"/>
    </row>
    <row r="4" spans="1:5" ht="13.5" customHeight="1" x14ac:dyDescent="0.25">
      <c r="B4" s="4"/>
      <c r="C4" s="53"/>
      <c r="D4" s="53"/>
      <c r="E4" s="55"/>
    </row>
    <row r="5" spans="1:5" ht="12" customHeight="1" x14ac:dyDescent="0.25">
      <c r="B5" s="271" t="s">
        <v>1923</v>
      </c>
      <c r="C5" s="267"/>
      <c r="D5" s="267"/>
      <c r="E5" s="267"/>
    </row>
    <row r="6" spans="1:5" ht="24" customHeight="1" x14ac:dyDescent="0.25">
      <c r="B6" s="440" t="s">
        <v>44</v>
      </c>
      <c r="C6" s="440" t="s">
        <v>268</v>
      </c>
      <c r="D6" s="441" t="s">
        <v>269</v>
      </c>
      <c r="E6" s="442" t="s">
        <v>1924</v>
      </c>
    </row>
    <row r="7" spans="1:5" ht="12" customHeight="1" x14ac:dyDescent="0.25">
      <c r="A7" s="31"/>
      <c r="B7" s="446" t="s">
        <v>706</v>
      </c>
      <c r="C7" s="443" t="s">
        <v>1194</v>
      </c>
      <c r="D7" s="428" t="s">
        <v>1006</v>
      </c>
      <c r="E7" s="444">
        <v>3.0409999999999999</v>
      </c>
    </row>
    <row r="8" spans="1:5" ht="12" customHeight="1" x14ac:dyDescent="0.25">
      <c r="A8" s="31"/>
      <c r="B8" s="446"/>
      <c r="C8" s="443" t="s">
        <v>1215</v>
      </c>
      <c r="D8" s="428" t="s">
        <v>1217</v>
      </c>
      <c r="E8" s="444">
        <v>4.58</v>
      </c>
    </row>
    <row r="9" spans="1:5" ht="12" customHeight="1" x14ac:dyDescent="0.25">
      <c r="A9" s="31"/>
      <c r="B9" s="447"/>
      <c r="C9" s="443" t="s">
        <v>1458</v>
      </c>
      <c r="D9" s="428" t="s">
        <v>796</v>
      </c>
      <c r="E9" s="444">
        <v>1.0489999999999999</v>
      </c>
    </row>
    <row r="10" spans="1:5" ht="12" customHeight="1" x14ac:dyDescent="0.25">
      <c r="A10" s="31"/>
      <c r="B10" s="448" t="s">
        <v>778</v>
      </c>
      <c r="C10" s="449"/>
      <c r="D10" s="450"/>
      <c r="E10" s="445">
        <f>SUM(E7:E9)</f>
        <v>8.67</v>
      </c>
    </row>
    <row r="11" spans="1:5" ht="12" customHeight="1" x14ac:dyDescent="0.25">
      <c r="B11" s="13" t="s">
        <v>53</v>
      </c>
      <c r="C11" s="53"/>
      <c r="D11" s="56"/>
      <c r="E11" s="57"/>
    </row>
    <row r="12" spans="1:5" ht="12" customHeight="1" x14ac:dyDescent="0.25">
      <c r="B12" s="18" t="s">
        <v>81</v>
      </c>
      <c r="C12" s="52"/>
      <c r="D12" s="56"/>
      <c r="E12" s="55"/>
    </row>
  </sheetData>
  <mergeCells count="3">
    <mergeCell ref="B5:E5"/>
    <mergeCell ref="B7:B9"/>
    <mergeCell ref="B10:D10"/>
  </mergeCells>
  <hyperlinks>
    <hyperlink ref="A1" location="INDICE!A1" display="(Ir al Índice)" xr:uid="{DED792C4-90E0-45C2-8F37-D0B6B1977AA1}"/>
  </hyperlinks>
  <printOptions horizontalCentered="1"/>
  <pageMargins left="0.78740157480314965" right="0.78740157480314965" top="0.59055118110236227" bottom="0.78740157480314965" header="0" footer="0"/>
  <pageSetup paperSize="9" orientation="portrait"/>
  <headerFooter>
    <oddFooter>&amp;R&amp;P+38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C393-5A36-4B2B-A2F7-9F8F004931C7}">
  <sheetPr>
    <tabColor theme="9" tint="0.59999389629810485"/>
  </sheetPr>
  <dimension ref="A1:O98"/>
  <sheetViews>
    <sheetView showGridLines="0" topLeftCell="A4" zoomScale="90" workbookViewId="0">
      <selection activeCell="M45" sqref="M45"/>
    </sheetView>
  </sheetViews>
  <sheetFormatPr baseColWidth="10" defaultColWidth="11.42578125" defaultRowHeight="12" customHeight="1" x14ac:dyDescent="0.25"/>
  <cols>
    <col min="1" max="1" width="4.28515625" style="103" customWidth="1"/>
    <col min="2" max="2" width="28.42578125" style="132" customWidth="1"/>
    <col min="3" max="3" width="29.85546875" style="133" customWidth="1"/>
    <col min="4" max="4" width="21.5703125" style="121" customWidth="1"/>
    <col min="5" max="5" width="11.42578125" style="118"/>
    <col min="6" max="6" width="14.7109375" style="115" customWidth="1"/>
    <col min="7" max="7" width="16.85546875" style="115" customWidth="1"/>
    <col min="8" max="8" width="24.28515625" style="118" customWidth="1"/>
    <col min="9" max="9" width="16" style="118" customWidth="1"/>
    <col min="10" max="10" width="11.42578125" style="118"/>
    <col min="11" max="11" width="17.85546875" style="118" bestFit="1" customWidth="1"/>
    <col min="12" max="12" width="10.7109375" style="118" bestFit="1" customWidth="1"/>
    <col min="13" max="16384" width="11.42578125" style="118"/>
  </cols>
  <sheetData>
    <row r="1" spans="1:15" ht="12" customHeight="1" x14ac:dyDescent="0.25">
      <c r="A1" s="78" t="s">
        <v>43</v>
      </c>
      <c r="B1" s="119"/>
      <c r="C1" s="120"/>
    </row>
    <row r="2" spans="1:15" ht="12" customHeight="1" x14ac:dyDescent="0.25">
      <c r="B2" s="119"/>
      <c r="C2" s="120"/>
    </row>
    <row r="3" spans="1:15" ht="15" x14ac:dyDescent="0.25">
      <c r="B3" s="102" t="s">
        <v>25</v>
      </c>
      <c r="C3" s="120"/>
    </row>
    <row r="4" spans="1:15" ht="15" x14ac:dyDescent="0.25">
      <c r="B4" s="119"/>
      <c r="C4" s="120"/>
    </row>
    <row r="5" spans="1:15" s="95" customFormat="1" ht="15" x14ac:dyDescent="0.25">
      <c r="A5" s="103"/>
      <c r="B5" s="122" t="s">
        <v>1925</v>
      </c>
      <c r="C5" s="104"/>
      <c r="D5" s="104"/>
      <c r="F5" s="83"/>
      <c r="G5" s="83"/>
    </row>
    <row r="6" spans="1:15" ht="24" customHeight="1" x14ac:dyDescent="0.25">
      <c r="B6" s="463" t="s">
        <v>147</v>
      </c>
      <c r="C6" s="464" t="s">
        <v>269</v>
      </c>
      <c r="D6" s="465" t="s">
        <v>260</v>
      </c>
      <c r="F6" s="15" t="s">
        <v>576</v>
      </c>
      <c r="N6" s="241" t="s">
        <v>168</v>
      </c>
      <c r="O6" s="242">
        <v>8241.1349999999948</v>
      </c>
    </row>
    <row r="7" spans="1:15" ht="15" x14ac:dyDescent="0.25">
      <c r="B7" s="454" t="s">
        <v>791</v>
      </c>
      <c r="C7" s="411" t="s">
        <v>792</v>
      </c>
      <c r="D7" s="455">
        <v>19.231999999999999</v>
      </c>
      <c r="F7" s="22" t="s">
        <v>1926</v>
      </c>
      <c r="N7" s="241" t="s">
        <v>176</v>
      </c>
      <c r="O7" s="242">
        <v>1753.3889999999999</v>
      </c>
    </row>
    <row r="8" spans="1:15" s="120" customFormat="1" ht="12.75" x14ac:dyDescent="0.2">
      <c r="A8" s="106"/>
      <c r="B8" s="456"/>
      <c r="C8" s="414" t="s">
        <v>793</v>
      </c>
      <c r="D8" s="416">
        <v>7.2830000000000013</v>
      </c>
      <c r="F8" s="123"/>
      <c r="G8" s="115"/>
      <c r="L8" s="118"/>
      <c r="M8" s="118"/>
      <c r="N8" s="241" t="s">
        <v>150</v>
      </c>
      <c r="O8" s="242">
        <v>1545.2599999999995</v>
      </c>
    </row>
    <row r="9" spans="1:15" s="120" customFormat="1" ht="14.45" customHeight="1" x14ac:dyDescent="0.2">
      <c r="A9" s="106"/>
      <c r="B9" s="456"/>
      <c r="C9" s="414" t="s">
        <v>794</v>
      </c>
      <c r="D9" s="416">
        <v>30.709999999999997</v>
      </c>
      <c r="F9" s="123"/>
      <c r="G9" s="115"/>
      <c r="L9" s="118"/>
      <c r="M9" s="118"/>
      <c r="N9" s="241" t="s">
        <v>153</v>
      </c>
      <c r="O9" s="242">
        <v>309.07100000000008</v>
      </c>
    </row>
    <row r="10" spans="1:15" s="120" customFormat="1" ht="14.45" customHeight="1" x14ac:dyDescent="0.2">
      <c r="A10" s="106"/>
      <c r="B10" s="456" t="s">
        <v>795</v>
      </c>
      <c r="C10" s="414" t="s">
        <v>796</v>
      </c>
      <c r="D10" s="416">
        <v>0.39400000000000002</v>
      </c>
      <c r="F10" s="123"/>
      <c r="G10" s="123"/>
      <c r="L10" s="118"/>
      <c r="M10" s="118"/>
      <c r="N10" s="241" t="s">
        <v>165</v>
      </c>
      <c r="O10" s="242">
        <v>292.64745990566047</v>
      </c>
    </row>
    <row r="11" spans="1:15" s="120" customFormat="1" ht="12.75" x14ac:dyDescent="0.2">
      <c r="A11" s="106"/>
      <c r="B11" s="456" t="s">
        <v>808</v>
      </c>
      <c r="C11" s="414" t="s">
        <v>810</v>
      </c>
      <c r="D11" s="416">
        <v>3.9119999999999999</v>
      </c>
      <c r="F11" s="123"/>
      <c r="G11" s="123"/>
      <c r="L11" s="118"/>
      <c r="M11" s="118"/>
      <c r="N11" s="241" t="s">
        <v>177</v>
      </c>
      <c r="O11" s="242">
        <v>291.53539622641506</v>
      </c>
    </row>
    <row r="12" spans="1:15" s="120" customFormat="1" ht="12.75" x14ac:dyDescent="0.2">
      <c r="A12" s="106"/>
      <c r="B12" s="456" t="s">
        <v>811</v>
      </c>
      <c r="C12" s="414" t="s">
        <v>812</v>
      </c>
      <c r="D12" s="416">
        <v>666.68527830188668</v>
      </c>
      <c r="F12" s="123"/>
      <c r="G12" s="123"/>
      <c r="L12" s="118"/>
      <c r="M12" s="118"/>
      <c r="N12" s="241" t="s">
        <v>175</v>
      </c>
      <c r="O12" s="242">
        <v>273.89800000000002</v>
      </c>
    </row>
    <row r="13" spans="1:15" s="120" customFormat="1" ht="12.75" x14ac:dyDescent="0.2">
      <c r="A13" s="106"/>
      <c r="B13" s="456" t="s">
        <v>836</v>
      </c>
      <c r="C13" s="414" t="s">
        <v>837</v>
      </c>
      <c r="D13" s="416">
        <v>15.124000000000001</v>
      </c>
      <c r="F13" s="123"/>
      <c r="G13" s="123"/>
      <c r="L13" s="118"/>
      <c r="M13" s="118"/>
      <c r="N13" s="241" t="s">
        <v>157</v>
      </c>
      <c r="O13" s="242">
        <v>226.02700000000002</v>
      </c>
    </row>
    <row r="14" spans="1:15" s="120" customFormat="1" ht="12.75" x14ac:dyDescent="0.2">
      <c r="A14" s="106"/>
      <c r="B14" s="456"/>
      <c r="C14" s="414" t="s">
        <v>838</v>
      </c>
      <c r="D14" s="416">
        <v>239.98564150943398</v>
      </c>
      <c r="F14" s="123"/>
      <c r="G14" s="123"/>
      <c r="L14" s="118"/>
      <c r="M14" s="118"/>
      <c r="N14" s="241" t="s">
        <v>264</v>
      </c>
      <c r="O14" s="242">
        <v>200.05</v>
      </c>
    </row>
    <row r="15" spans="1:15" s="120" customFormat="1" ht="14.45" customHeight="1" x14ac:dyDescent="0.2">
      <c r="A15" s="106"/>
      <c r="B15" s="456" t="s">
        <v>862</v>
      </c>
      <c r="C15" s="414" t="s">
        <v>863</v>
      </c>
      <c r="D15" s="416">
        <v>116.08385849056603</v>
      </c>
      <c r="F15" s="123"/>
      <c r="G15" s="123"/>
      <c r="L15" s="118"/>
      <c r="M15" s="118"/>
      <c r="N15" s="241" t="s">
        <v>164</v>
      </c>
      <c r="O15" s="242">
        <v>118.517</v>
      </c>
    </row>
    <row r="16" spans="1:15" s="120" customFormat="1" ht="14.45" customHeight="1" x14ac:dyDescent="0.2">
      <c r="A16" s="106"/>
      <c r="B16" s="456"/>
      <c r="C16" s="414" t="s">
        <v>865</v>
      </c>
      <c r="D16" s="416">
        <v>6.3289999999999997</v>
      </c>
      <c r="E16" s="121"/>
      <c r="F16" s="123"/>
      <c r="G16" s="123"/>
      <c r="L16" s="118"/>
      <c r="M16" s="118"/>
      <c r="N16" s="241" t="s">
        <v>180</v>
      </c>
      <c r="O16" s="243">
        <v>103.46999999999997</v>
      </c>
    </row>
    <row r="17" spans="1:15" s="120" customFormat="1" ht="14.45" customHeight="1" x14ac:dyDescent="0.2">
      <c r="A17" s="106"/>
      <c r="B17" s="456"/>
      <c r="C17" s="414" t="s">
        <v>866</v>
      </c>
      <c r="D17" s="416">
        <v>2.257891509433962</v>
      </c>
      <c r="F17" s="123"/>
      <c r="G17" s="123"/>
      <c r="L17" s="118"/>
      <c r="M17" s="118"/>
      <c r="N17" s="241" t="s">
        <v>174</v>
      </c>
      <c r="O17" s="243">
        <v>100.52199999999998</v>
      </c>
    </row>
    <row r="18" spans="1:15" s="120" customFormat="1" ht="12.75" x14ac:dyDescent="0.2">
      <c r="A18" s="106"/>
      <c r="B18" s="456"/>
      <c r="C18" s="414" t="s">
        <v>867</v>
      </c>
      <c r="D18" s="416">
        <v>111.98695283018867</v>
      </c>
      <c r="F18" s="123"/>
      <c r="G18" s="123"/>
      <c r="L18" s="118"/>
      <c r="M18" s="118"/>
      <c r="N18" s="241" t="s">
        <v>266</v>
      </c>
      <c r="O18" s="243">
        <v>98.399000000000001</v>
      </c>
    </row>
    <row r="19" spans="1:15" s="120" customFormat="1" ht="12.75" x14ac:dyDescent="0.2">
      <c r="A19" s="106"/>
      <c r="B19" s="456" t="s">
        <v>870</v>
      </c>
      <c r="C19" s="414" t="s">
        <v>868</v>
      </c>
      <c r="D19" s="416">
        <v>121.56307547169811</v>
      </c>
      <c r="F19" s="123"/>
      <c r="G19" s="123"/>
      <c r="L19" s="118"/>
      <c r="M19" s="118"/>
      <c r="N19" s="241" t="s">
        <v>156</v>
      </c>
      <c r="O19" s="243">
        <v>84.031999999999996</v>
      </c>
    </row>
    <row r="20" spans="1:15" s="120" customFormat="1" ht="14.45" customHeight="1" x14ac:dyDescent="0.2">
      <c r="A20" s="106"/>
      <c r="B20" s="456" t="s">
        <v>872</v>
      </c>
      <c r="C20" s="414" t="s">
        <v>863</v>
      </c>
      <c r="D20" s="416">
        <v>4.202</v>
      </c>
      <c r="F20" s="123"/>
      <c r="G20" s="123"/>
      <c r="L20" s="118"/>
      <c r="M20" s="118"/>
      <c r="N20" s="241" t="s">
        <v>169</v>
      </c>
      <c r="O20" s="243">
        <v>61.882000000000005</v>
      </c>
    </row>
    <row r="21" spans="1:15" ht="12.75" x14ac:dyDescent="0.2">
      <c r="A21" s="106"/>
      <c r="B21" s="456" t="s">
        <v>884</v>
      </c>
      <c r="C21" s="414" t="s">
        <v>886</v>
      </c>
      <c r="D21" s="416">
        <v>1.327</v>
      </c>
      <c r="N21" s="241" t="s">
        <v>133</v>
      </c>
      <c r="O21" s="241">
        <v>126.501</v>
      </c>
    </row>
    <row r="22" spans="1:15" ht="10.9" customHeight="1" x14ac:dyDescent="0.2">
      <c r="A22" s="106"/>
      <c r="B22" s="456" t="s">
        <v>913</v>
      </c>
      <c r="C22" s="414" t="s">
        <v>915</v>
      </c>
      <c r="D22" s="416">
        <v>163.95756132075471</v>
      </c>
      <c r="N22" s="241"/>
      <c r="O22" s="241">
        <v>13826.335856132066</v>
      </c>
    </row>
    <row r="23" spans="1:15" s="120" customFormat="1" ht="12.75" x14ac:dyDescent="0.2">
      <c r="A23" s="106"/>
      <c r="B23" s="456" t="s">
        <v>1007</v>
      </c>
      <c r="C23" s="414" t="s">
        <v>1008</v>
      </c>
      <c r="D23" s="416">
        <v>9.2070000000000007</v>
      </c>
      <c r="F23" s="123"/>
      <c r="G23" s="123"/>
      <c r="K23" s="118"/>
      <c r="L23" s="118"/>
      <c r="M23" s="118"/>
    </row>
    <row r="24" spans="1:15" ht="10.9" customHeight="1" x14ac:dyDescent="0.2">
      <c r="A24" s="106"/>
      <c r="B24" s="456" t="s">
        <v>1034</v>
      </c>
      <c r="C24" s="414" t="s">
        <v>1036</v>
      </c>
      <c r="D24" s="416">
        <v>7</v>
      </c>
    </row>
    <row r="25" spans="1:15" ht="14.25" customHeight="1" x14ac:dyDescent="0.2">
      <c r="A25" s="106"/>
      <c r="B25" s="456" t="s">
        <v>1089</v>
      </c>
      <c r="C25" s="414" t="s">
        <v>1090</v>
      </c>
      <c r="D25" s="416">
        <v>879.83464905660378</v>
      </c>
    </row>
    <row r="26" spans="1:15" ht="10.9" customHeight="1" x14ac:dyDescent="0.2">
      <c r="A26" s="106"/>
      <c r="B26" s="456" t="s">
        <v>1135</v>
      </c>
      <c r="C26" s="414" t="s">
        <v>783</v>
      </c>
      <c r="D26" s="416">
        <v>32.002000000000002</v>
      </c>
      <c r="G26" s="125"/>
    </row>
    <row r="27" spans="1:15" ht="10.9" customHeight="1" x14ac:dyDescent="0.2">
      <c r="A27" s="106"/>
      <c r="B27" s="456" t="s">
        <v>1146</v>
      </c>
      <c r="C27" s="414" t="s">
        <v>1147</v>
      </c>
      <c r="D27" s="416">
        <v>75.390432075471708</v>
      </c>
    </row>
    <row r="28" spans="1:15" ht="10.9" customHeight="1" x14ac:dyDescent="0.2">
      <c r="A28" s="106"/>
      <c r="B28" s="456"/>
      <c r="C28" s="414" t="s">
        <v>873</v>
      </c>
      <c r="D28" s="416">
        <v>34.472026415094334</v>
      </c>
    </row>
    <row r="29" spans="1:15" ht="10.9" customHeight="1" x14ac:dyDescent="0.2">
      <c r="A29" s="106"/>
      <c r="B29" s="456"/>
      <c r="C29" s="414" t="s">
        <v>1148</v>
      </c>
      <c r="D29" s="416">
        <v>18.082000000000001</v>
      </c>
    </row>
    <row r="30" spans="1:15" ht="14.45" customHeight="1" x14ac:dyDescent="0.2">
      <c r="A30" s="106"/>
      <c r="B30" s="456"/>
      <c r="C30" s="414" t="s">
        <v>1151</v>
      </c>
      <c r="D30" s="416">
        <v>85.15</v>
      </c>
      <c r="F30" s="125"/>
    </row>
    <row r="31" spans="1:15" ht="10.9" customHeight="1" x14ac:dyDescent="0.2">
      <c r="A31" s="106"/>
      <c r="B31" s="456" t="s">
        <v>1215</v>
      </c>
      <c r="C31" s="414" t="s">
        <v>1217</v>
      </c>
      <c r="D31" s="416">
        <v>7.694</v>
      </c>
    </row>
    <row r="32" spans="1:15" s="120" customFormat="1" ht="12.75" x14ac:dyDescent="0.2">
      <c r="A32" s="106"/>
      <c r="B32" s="456" t="s">
        <v>1225</v>
      </c>
      <c r="C32" s="414" t="s">
        <v>1027</v>
      </c>
      <c r="D32" s="416">
        <v>5.6880000000000006</v>
      </c>
      <c r="F32" s="123"/>
      <c r="G32" s="123"/>
      <c r="K32" s="118"/>
      <c r="L32" s="118"/>
    </row>
    <row r="33" spans="1:12" ht="12" customHeight="1" x14ac:dyDescent="0.2">
      <c r="A33" s="106"/>
      <c r="B33" s="456" t="s">
        <v>1230</v>
      </c>
      <c r="C33" s="414" t="s">
        <v>1027</v>
      </c>
      <c r="D33" s="416">
        <v>0.318</v>
      </c>
      <c r="F33" s="125"/>
    </row>
    <row r="34" spans="1:12" ht="12.75" x14ac:dyDescent="0.2">
      <c r="A34" s="106"/>
      <c r="B34" s="456" t="s">
        <v>1241</v>
      </c>
      <c r="C34" s="414" t="s">
        <v>1242</v>
      </c>
      <c r="D34" s="416">
        <v>20.119</v>
      </c>
    </row>
    <row r="35" spans="1:12" ht="12.75" x14ac:dyDescent="0.2">
      <c r="A35" s="106"/>
      <c r="B35" s="456" t="s">
        <v>1244</v>
      </c>
      <c r="C35" s="414" t="s">
        <v>1248</v>
      </c>
      <c r="D35" s="416">
        <v>0.75547169811320702</v>
      </c>
    </row>
    <row r="36" spans="1:12" s="126" customFormat="1" ht="14.45" customHeight="1" x14ac:dyDescent="0.2">
      <c r="A36" s="117"/>
      <c r="B36" s="456"/>
      <c r="C36" s="414" t="s">
        <v>1119</v>
      </c>
      <c r="D36" s="416">
        <v>487.05823270440254</v>
      </c>
      <c r="F36" s="127"/>
      <c r="G36" s="127"/>
      <c r="K36" s="118"/>
      <c r="L36" s="118"/>
    </row>
    <row r="37" spans="1:12" ht="12" customHeight="1" x14ac:dyDescent="0.2">
      <c r="A37" s="117"/>
      <c r="B37" s="456" t="s">
        <v>1265</v>
      </c>
      <c r="C37" s="414" t="s">
        <v>866</v>
      </c>
      <c r="D37" s="416">
        <v>1.0584905660377359</v>
      </c>
      <c r="G37" s="127"/>
    </row>
    <row r="38" spans="1:12" ht="12" customHeight="1" x14ac:dyDescent="0.2">
      <c r="A38" s="117"/>
      <c r="B38" s="456"/>
      <c r="C38" s="414" t="s">
        <v>868</v>
      </c>
      <c r="D38" s="416">
        <v>0.88443396226415105</v>
      </c>
    </row>
    <row r="39" spans="1:12" ht="12" customHeight="1" x14ac:dyDescent="0.2">
      <c r="A39" s="117"/>
      <c r="B39" s="456" t="s">
        <v>1348</v>
      </c>
      <c r="C39" s="414" t="s">
        <v>1231</v>
      </c>
      <c r="D39" s="416">
        <v>12.087</v>
      </c>
    </row>
    <row r="40" spans="1:12" ht="12" customHeight="1" x14ac:dyDescent="0.2">
      <c r="A40" s="117"/>
      <c r="B40" s="456"/>
      <c r="C40" s="414" t="s">
        <v>1248</v>
      </c>
      <c r="D40" s="416">
        <v>39.357858490566045</v>
      </c>
    </row>
    <row r="41" spans="1:12" ht="12" customHeight="1" x14ac:dyDescent="0.2">
      <c r="A41" s="117"/>
      <c r="B41" s="456"/>
      <c r="C41" s="414" t="s">
        <v>1349</v>
      </c>
      <c r="D41" s="416">
        <v>1.1904481132075471</v>
      </c>
    </row>
    <row r="42" spans="1:12" ht="12" customHeight="1" x14ac:dyDescent="0.2">
      <c r="A42" s="117"/>
      <c r="B42" s="456" t="s">
        <v>1487</v>
      </c>
      <c r="C42" s="414" t="s">
        <v>1364</v>
      </c>
      <c r="D42" s="416">
        <v>0.64200000000000002</v>
      </c>
      <c r="F42" s="125"/>
    </row>
    <row r="43" spans="1:12" ht="12" customHeight="1" x14ac:dyDescent="0.2">
      <c r="A43" s="117"/>
      <c r="B43" s="456"/>
      <c r="C43" s="414" t="s">
        <v>1488</v>
      </c>
      <c r="D43" s="416">
        <v>56.475000000000001</v>
      </c>
      <c r="F43" s="125"/>
    </row>
    <row r="44" spans="1:12" ht="12" customHeight="1" x14ac:dyDescent="0.2">
      <c r="A44" s="117"/>
      <c r="B44" s="456" t="s">
        <v>1497</v>
      </c>
      <c r="C44" s="414" t="s">
        <v>1499</v>
      </c>
      <c r="D44" s="416">
        <v>19.387358490566037</v>
      </c>
      <c r="F44" s="125"/>
    </row>
    <row r="45" spans="1:12" ht="12" customHeight="1" x14ac:dyDescent="0.2">
      <c r="A45" s="117"/>
      <c r="B45" s="456" t="s">
        <v>1506</v>
      </c>
      <c r="C45" s="414" t="s">
        <v>1507</v>
      </c>
      <c r="D45" s="416">
        <v>37.566575471698108</v>
      </c>
      <c r="F45" s="125"/>
    </row>
    <row r="46" spans="1:12" ht="12" customHeight="1" x14ac:dyDescent="0.2">
      <c r="A46" s="117"/>
      <c r="B46" s="456"/>
      <c r="C46" s="414" t="s">
        <v>1508</v>
      </c>
      <c r="D46" s="416">
        <v>54.884</v>
      </c>
      <c r="F46" s="125"/>
    </row>
    <row r="47" spans="1:12" ht="12" customHeight="1" x14ac:dyDescent="0.2">
      <c r="A47" s="117"/>
      <c r="B47" s="456" t="s">
        <v>1510</v>
      </c>
      <c r="C47" s="414" t="s">
        <v>1511</v>
      </c>
      <c r="D47" s="416">
        <v>217.13994575471699</v>
      </c>
      <c r="F47" s="125"/>
    </row>
    <row r="48" spans="1:12" ht="12" customHeight="1" x14ac:dyDescent="0.2">
      <c r="A48" s="117"/>
      <c r="B48" s="456"/>
      <c r="C48" s="414" t="s">
        <v>1512</v>
      </c>
      <c r="D48" s="416">
        <v>121.33947735849054</v>
      </c>
    </row>
    <row r="49" spans="1:7" ht="12" customHeight="1" x14ac:dyDescent="0.2">
      <c r="A49" s="117"/>
      <c r="B49" s="456"/>
      <c r="C49" s="414" t="s">
        <v>892</v>
      </c>
      <c r="D49" s="416">
        <v>1.6041509433962271</v>
      </c>
    </row>
    <row r="50" spans="1:7" ht="12" customHeight="1" x14ac:dyDescent="0.2">
      <c r="A50" s="117"/>
      <c r="B50" s="456" t="s">
        <v>1567</v>
      </c>
      <c r="C50" s="414" t="s">
        <v>1568</v>
      </c>
      <c r="D50" s="416">
        <v>47.442</v>
      </c>
    </row>
    <row r="51" spans="1:7" ht="12" customHeight="1" x14ac:dyDescent="0.2">
      <c r="A51" s="117"/>
      <c r="B51" s="456"/>
      <c r="C51" s="414" t="s">
        <v>1569</v>
      </c>
      <c r="D51" s="416">
        <v>810.65083442311288</v>
      </c>
    </row>
    <row r="52" spans="1:7" ht="12" customHeight="1" x14ac:dyDescent="0.2">
      <c r="A52" s="117"/>
      <c r="B52" s="456"/>
      <c r="C52" s="414" t="s">
        <v>1570</v>
      </c>
      <c r="D52" s="416">
        <v>10388.788656555342</v>
      </c>
    </row>
    <row r="53" spans="1:7" ht="12" customHeight="1" x14ac:dyDescent="0.2">
      <c r="A53" s="117"/>
      <c r="B53" s="456"/>
      <c r="C53" s="414" t="s">
        <v>1571</v>
      </c>
      <c r="D53" s="416">
        <v>107.89</v>
      </c>
    </row>
    <row r="54" spans="1:7" ht="12" customHeight="1" x14ac:dyDescent="0.2">
      <c r="A54" s="117"/>
      <c r="B54" s="456" t="s">
        <v>1587</v>
      </c>
      <c r="C54" s="414" t="s">
        <v>1588</v>
      </c>
      <c r="D54" s="416">
        <v>79.201999999999998</v>
      </c>
    </row>
    <row r="55" spans="1:7" s="452" customFormat="1" ht="12" customHeight="1" x14ac:dyDescent="0.2">
      <c r="A55" s="451"/>
      <c r="B55" s="456"/>
      <c r="C55" s="414" t="s">
        <v>1589</v>
      </c>
      <c r="D55" s="416">
        <v>176.06357075471698</v>
      </c>
      <c r="F55" s="453"/>
      <c r="G55" s="453"/>
    </row>
    <row r="56" spans="1:7" ht="12" customHeight="1" x14ac:dyDescent="0.2">
      <c r="A56" s="117"/>
      <c r="B56" s="456"/>
      <c r="C56" s="414" t="s">
        <v>1591</v>
      </c>
      <c r="D56" s="416">
        <v>306.16461792452833</v>
      </c>
    </row>
    <row r="57" spans="1:7" ht="12" customHeight="1" x14ac:dyDescent="0.2">
      <c r="A57" s="117"/>
      <c r="B57" s="456" t="s">
        <v>1898</v>
      </c>
      <c r="C57" s="414" t="s">
        <v>1591</v>
      </c>
      <c r="D57" s="416">
        <v>11.260801886792454</v>
      </c>
    </row>
    <row r="58" spans="1:7" ht="12" customHeight="1" x14ac:dyDescent="0.2">
      <c r="A58" s="117"/>
      <c r="B58" s="456" t="s">
        <v>1609</v>
      </c>
      <c r="C58" s="414" t="s">
        <v>1610</v>
      </c>
      <c r="D58" s="416">
        <v>0.138679245283019</v>
      </c>
    </row>
    <row r="59" spans="1:7" ht="12" customHeight="1" x14ac:dyDescent="0.2">
      <c r="A59" s="117"/>
      <c r="B59" s="456" t="s">
        <v>1630</v>
      </c>
      <c r="C59" s="414" t="s">
        <v>986</v>
      </c>
      <c r="D59" s="416">
        <v>0.495</v>
      </c>
    </row>
    <row r="60" spans="1:7" ht="12" customHeight="1" x14ac:dyDescent="0.2">
      <c r="A60" s="117"/>
      <c r="B60" s="456"/>
      <c r="C60" s="414" t="s">
        <v>1325</v>
      </c>
      <c r="D60" s="416">
        <v>32.073999999999998</v>
      </c>
    </row>
    <row r="61" spans="1:7" ht="12" customHeight="1" x14ac:dyDescent="0.2">
      <c r="A61" s="106"/>
      <c r="B61" s="456"/>
      <c r="C61" s="414" t="s">
        <v>932</v>
      </c>
      <c r="D61" s="416">
        <v>40.422518867924531</v>
      </c>
    </row>
    <row r="62" spans="1:7" ht="12" customHeight="1" x14ac:dyDescent="0.2">
      <c r="A62" s="106"/>
      <c r="B62" s="457" t="s">
        <v>1632</v>
      </c>
      <c r="C62" s="435" t="s">
        <v>1325</v>
      </c>
      <c r="D62" s="458">
        <v>93.193141509433971</v>
      </c>
    </row>
    <row r="63" spans="1:7" ht="12" customHeight="1" x14ac:dyDescent="0.2">
      <c r="A63" s="106"/>
      <c r="B63" s="460" t="s">
        <v>1921</v>
      </c>
      <c r="C63" s="461"/>
      <c r="D63" s="462">
        <f>SUM(D7:D62)</f>
        <v>15831.206631701723</v>
      </c>
    </row>
    <row r="64" spans="1:7" ht="12" customHeight="1" x14ac:dyDescent="0.2">
      <c r="A64" s="117"/>
    </row>
    <row r="65" spans="1:9" ht="12" customHeight="1" x14ac:dyDescent="0.2">
      <c r="A65" s="117"/>
      <c r="I65" s="134"/>
    </row>
    <row r="66" spans="1:9" ht="12" customHeight="1" x14ac:dyDescent="0.2">
      <c r="A66" s="117"/>
    </row>
    <row r="67" spans="1:9" ht="12" customHeight="1" x14ac:dyDescent="0.2">
      <c r="A67" s="117"/>
    </row>
    <row r="68" spans="1:9" ht="12" customHeight="1" x14ac:dyDescent="0.2">
      <c r="A68" s="117"/>
    </row>
    <row r="69" spans="1:9" ht="12" customHeight="1" x14ac:dyDescent="0.2">
      <c r="A69" s="117"/>
    </row>
    <row r="70" spans="1:9" ht="12" customHeight="1" x14ac:dyDescent="0.2">
      <c r="A70" s="117"/>
    </row>
    <row r="71" spans="1:9" ht="12" customHeight="1" x14ac:dyDescent="0.2">
      <c r="A71" s="117"/>
    </row>
    <row r="72" spans="1:9" ht="12" customHeight="1" x14ac:dyDescent="0.2">
      <c r="A72" s="117"/>
    </row>
    <row r="73" spans="1:9" ht="12" customHeight="1" x14ac:dyDescent="0.2">
      <c r="A73" s="117"/>
    </row>
    <row r="74" spans="1:9" ht="12" customHeight="1" x14ac:dyDescent="0.2">
      <c r="A74" s="117"/>
      <c r="F74" s="118"/>
      <c r="G74" s="118"/>
    </row>
    <row r="75" spans="1:9" ht="12" customHeight="1" x14ac:dyDescent="0.2">
      <c r="A75" s="117"/>
    </row>
    <row r="76" spans="1:9" ht="12" customHeight="1" x14ac:dyDescent="0.2">
      <c r="A76" s="117"/>
    </row>
    <row r="77" spans="1:9" ht="12" customHeight="1" x14ac:dyDescent="0.2">
      <c r="A77" s="117"/>
    </row>
    <row r="78" spans="1:9" ht="12" customHeight="1" x14ac:dyDescent="0.2">
      <c r="A78" s="117"/>
    </row>
    <row r="79" spans="1:9" ht="14.25" customHeight="1" x14ac:dyDescent="0.2">
      <c r="A79" s="117"/>
    </row>
    <row r="80" spans="1:9" ht="12" customHeight="1" x14ac:dyDescent="0.2">
      <c r="A80" s="117"/>
    </row>
    <row r="81" spans="1:7" ht="12" customHeight="1" x14ac:dyDescent="0.2">
      <c r="A81" s="117"/>
    </row>
    <row r="82" spans="1:7" ht="12" customHeight="1" x14ac:dyDescent="0.2">
      <c r="A82" s="117"/>
    </row>
    <row r="83" spans="1:7" ht="12" customHeight="1" x14ac:dyDescent="0.2">
      <c r="A83" s="117"/>
    </row>
    <row r="84" spans="1:7" ht="12" customHeight="1" x14ac:dyDescent="0.2">
      <c r="A84" s="117"/>
    </row>
    <row r="85" spans="1:7" ht="12" customHeight="1" x14ac:dyDescent="0.2">
      <c r="A85" s="117"/>
    </row>
    <row r="86" spans="1:7" ht="9" customHeight="1" x14ac:dyDescent="0.2">
      <c r="A86" s="117"/>
    </row>
    <row r="87" spans="1:7" ht="9" customHeight="1" x14ac:dyDescent="0.2">
      <c r="A87" s="117"/>
    </row>
    <row r="88" spans="1:7" ht="9" customHeight="1" x14ac:dyDescent="0.2">
      <c r="A88" s="117"/>
    </row>
    <row r="89" spans="1:7" ht="9" customHeight="1" x14ac:dyDescent="0.2">
      <c r="A89" s="117"/>
    </row>
    <row r="90" spans="1:7" ht="13.5" customHeight="1" x14ac:dyDescent="0.2">
      <c r="A90" s="117"/>
      <c r="B90" s="129"/>
      <c r="C90" s="129"/>
    </row>
    <row r="91" spans="1:7" ht="13.5" customHeight="1" x14ac:dyDescent="0.2">
      <c r="A91" s="117"/>
      <c r="B91" s="129"/>
      <c r="C91" s="129"/>
    </row>
    <row r="92" spans="1:7" ht="9" customHeight="1" x14ac:dyDescent="0.2">
      <c r="A92" s="117"/>
      <c r="B92" s="129"/>
      <c r="C92" s="126"/>
    </row>
    <row r="93" spans="1:7" ht="9" customHeight="1" x14ac:dyDescent="0.25">
      <c r="B93" s="129"/>
      <c r="C93" s="129"/>
    </row>
    <row r="94" spans="1:7" ht="15" x14ac:dyDescent="0.25"/>
    <row r="95" spans="1:7" ht="12" customHeight="1" x14ac:dyDescent="0.25">
      <c r="F95" s="127"/>
      <c r="G95" s="127"/>
    </row>
    <row r="97" spans="1:10" ht="12" customHeight="1" x14ac:dyDescent="0.25">
      <c r="H97" s="126"/>
      <c r="I97" s="126"/>
      <c r="J97" s="126"/>
    </row>
    <row r="98" spans="1:10" s="126" customFormat="1" ht="12.75" customHeight="1" x14ac:dyDescent="0.25">
      <c r="A98" s="103"/>
      <c r="B98" s="132"/>
      <c r="C98" s="133"/>
      <c r="D98" s="121"/>
      <c r="F98" s="115"/>
      <c r="G98" s="115"/>
      <c r="H98" s="118"/>
      <c r="I98" s="118"/>
      <c r="J98" s="118"/>
    </row>
  </sheetData>
  <sheetProtection selectLockedCells="1" selectUnlockedCells="1"/>
  <hyperlinks>
    <hyperlink ref="A1" location="INDICE!A1" display="(Ir al Índice)" xr:uid="{8DA40113-0387-492F-8849-A0422C778FA1}"/>
  </hyperlinks>
  <printOptions horizontalCentered="1"/>
  <pageMargins left="0.59055118110236227" right="0.59055118110236227" top="0.59055118110236227" bottom="0.78740157480314965" header="0.39370078740157483" footer="0.39370078740157483"/>
  <pageSetup paperSize="9" orientation="portrait" r:id="rId1"/>
  <headerFooter>
    <oddFooter>&amp;R&amp;8 35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AE27-9325-4BE9-AEC5-6C552E990620}">
  <sheetPr>
    <tabColor theme="9" tint="0.59999389629810485"/>
  </sheetPr>
  <dimension ref="A1:AG97"/>
  <sheetViews>
    <sheetView showGridLines="0" zoomScale="73" zoomScaleNormal="100" workbookViewId="0">
      <selection activeCell="K46" sqref="K46"/>
    </sheetView>
  </sheetViews>
  <sheetFormatPr baseColWidth="10" defaultColWidth="11.42578125" defaultRowHeight="15" x14ac:dyDescent="0.25"/>
  <cols>
    <col min="1" max="1" width="4.28515625" style="103" customWidth="1"/>
    <col min="2" max="2" width="20.42578125" style="120" customWidth="1"/>
    <col min="3" max="3" width="20.28515625" style="120" customWidth="1"/>
    <col min="4" max="4" width="26.85546875" style="120" customWidth="1"/>
    <col min="5" max="5" width="18.7109375" style="121" customWidth="1"/>
    <col min="6" max="8" width="11.42578125" style="118"/>
    <col min="9" max="10" width="11.42578125" style="115"/>
    <col min="11" max="16384" width="11.42578125" style="118"/>
  </cols>
  <sheetData>
    <row r="1" spans="1:33" x14ac:dyDescent="0.25">
      <c r="A1" s="78" t="s">
        <v>43</v>
      </c>
      <c r="B1" s="135"/>
      <c r="E1" s="118"/>
    </row>
    <row r="2" spans="1:33" x14ac:dyDescent="0.25">
      <c r="B2" s="135"/>
      <c r="E2" s="118"/>
    </row>
    <row r="3" spans="1:33" x14ac:dyDescent="0.25">
      <c r="B3" s="102" t="s">
        <v>26</v>
      </c>
      <c r="E3" s="118"/>
    </row>
    <row r="4" spans="1:33" x14ac:dyDescent="0.25">
      <c r="B4" s="135"/>
      <c r="E4" s="118"/>
    </row>
    <row r="5" spans="1:33" s="104" customFormat="1" x14ac:dyDescent="0.25">
      <c r="A5" s="103"/>
      <c r="B5" s="104" t="s">
        <v>1927</v>
      </c>
      <c r="E5" s="136"/>
      <c r="I5" s="137"/>
      <c r="J5" s="137"/>
    </row>
    <row r="6" spans="1:33" s="120" customFormat="1" ht="20.25" customHeight="1" x14ac:dyDescent="0.25">
      <c r="A6" s="103"/>
      <c r="B6" s="402" t="s">
        <v>44</v>
      </c>
      <c r="C6" s="402" t="s">
        <v>268</v>
      </c>
      <c r="D6" s="478" t="s">
        <v>269</v>
      </c>
      <c r="E6" s="479" t="s">
        <v>270</v>
      </c>
      <c r="H6" s="15" t="s">
        <v>574</v>
      </c>
    </row>
    <row r="7" spans="1:33" s="120" customFormat="1" x14ac:dyDescent="0.25">
      <c r="A7" s="103"/>
      <c r="B7" s="480" t="s">
        <v>697</v>
      </c>
      <c r="C7" s="481"/>
      <c r="D7" s="482"/>
      <c r="E7" s="483">
        <f>SUM(E8:E9)</f>
        <v>340.43500000000006</v>
      </c>
      <c r="H7" s="494" t="s">
        <v>1928</v>
      </c>
      <c r="AE7" s="99" t="s">
        <v>244</v>
      </c>
      <c r="AF7" s="83">
        <v>1229.3820000000001</v>
      </c>
      <c r="AG7" s="138">
        <f>+AF7/$AF$10</f>
        <v>0.69626467280065163</v>
      </c>
    </row>
    <row r="8" spans="1:33" s="120" customFormat="1" ht="12" customHeight="1" x14ac:dyDescent="0.2">
      <c r="A8" s="106"/>
      <c r="B8" s="466"/>
      <c r="C8" s="467" t="s">
        <v>1120</v>
      </c>
      <c r="D8" s="468" t="s">
        <v>931</v>
      </c>
      <c r="E8" s="469">
        <v>54.212000000000003</v>
      </c>
      <c r="AE8" s="139" t="s">
        <v>73</v>
      </c>
      <c r="AF8" s="83">
        <v>346.67999999999995</v>
      </c>
      <c r="AG8" s="138">
        <f>+AF8/$AF$10</f>
        <v>0.19634339592293515</v>
      </c>
    </row>
    <row r="9" spans="1:33" s="120" customFormat="1" ht="12" x14ac:dyDescent="0.2">
      <c r="A9" s="106"/>
      <c r="B9" s="484"/>
      <c r="C9" s="485" t="s">
        <v>1212</v>
      </c>
      <c r="D9" s="486" t="s">
        <v>1213</v>
      </c>
      <c r="E9" s="487">
        <v>286.22300000000007</v>
      </c>
      <c r="AE9" s="99" t="s">
        <v>52</v>
      </c>
      <c r="AF9" s="83">
        <v>189.62</v>
      </c>
      <c r="AG9" s="138">
        <f>+AF9/$AF$10</f>
        <v>0.10739193127641332</v>
      </c>
    </row>
    <row r="10" spans="1:33" s="120" customFormat="1" ht="12" x14ac:dyDescent="0.2">
      <c r="A10" s="106"/>
      <c r="B10" s="480" t="s">
        <v>699</v>
      </c>
      <c r="C10" s="481"/>
      <c r="D10" s="482"/>
      <c r="E10" s="483">
        <f>SUM(E11:E17)</f>
        <v>248.66500000000002</v>
      </c>
      <c r="AE10" s="123"/>
      <c r="AF10" s="123">
        <f>SUM(AF7:AF9)</f>
        <v>1765.6819999999998</v>
      </c>
      <c r="AG10" s="123"/>
    </row>
    <row r="11" spans="1:33" s="120" customFormat="1" ht="12" x14ac:dyDescent="0.2">
      <c r="A11" s="106"/>
      <c r="B11" s="470"/>
      <c r="C11" s="467" t="s">
        <v>843</v>
      </c>
      <c r="D11" s="468" t="s">
        <v>848</v>
      </c>
      <c r="E11" s="469">
        <v>10.651</v>
      </c>
    </row>
    <row r="12" spans="1:33" s="120" customFormat="1" ht="12" x14ac:dyDescent="0.2">
      <c r="A12" s="106"/>
      <c r="B12" s="470"/>
      <c r="C12" s="467" t="s">
        <v>967</v>
      </c>
      <c r="D12" s="468" t="s">
        <v>959</v>
      </c>
      <c r="E12" s="469">
        <v>3</v>
      </c>
    </row>
    <row r="13" spans="1:33" s="120" customFormat="1" ht="12" x14ac:dyDescent="0.2">
      <c r="A13" s="106"/>
      <c r="B13" s="466"/>
      <c r="C13" s="467" t="s">
        <v>975</v>
      </c>
      <c r="D13" s="468" t="s">
        <v>955</v>
      </c>
      <c r="E13" s="469">
        <v>158.66800000000001</v>
      </c>
    </row>
    <row r="14" spans="1:33" s="120" customFormat="1" ht="12" x14ac:dyDescent="0.2">
      <c r="A14" s="106"/>
      <c r="B14" s="466"/>
      <c r="C14" s="467" t="s">
        <v>1026</v>
      </c>
      <c r="D14" s="468" t="s">
        <v>1027</v>
      </c>
      <c r="E14" s="469">
        <v>22.114000000000001</v>
      </c>
    </row>
    <row r="15" spans="1:33" s="120" customFormat="1" ht="12" x14ac:dyDescent="0.2">
      <c r="A15" s="106"/>
      <c r="B15" s="471"/>
      <c r="C15" s="467" t="s">
        <v>1172</v>
      </c>
      <c r="D15" s="468" t="s">
        <v>569</v>
      </c>
      <c r="E15" s="469">
        <v>27.673999999999999</v>
      </c>
    </row>
    <row r="16" spans="1:33" s="120" customFormat="1" ht="12" x14ac:dyDescent="0.2">
      <c r="A16" s="106"/>
      <c r="B16" s="470"/>
      <c r="C16" s="472" t="s">
        <v>1328</v>
      </c>
      <c r="D16" s="473" t="s">
        <v>1321</v>
      </c>
      <c r="E16" s="416">
        <v>8.4149999999999991</v>
      </c>
      <c r="AA16" s="220" t="s">
        <v>577</v>
      </c>
      <c r="AB16" s="220"/>
      <c r="AC16" s="220" t="s">
        <v>262</v>
      </c>
    </row>
    <row r="17" spans="1:29" s="120" customFormat="1" ht="12" x14ac:dyDescent="0.2">
      <c r="A17" s="106"/>
      <c r="B17" s="488"/>
      <c r="C17" s="476" t="s">
        <v>1609</v>
      </c>
      <c r="D17" s="435" t="s">
        <v>1610</v>
      </c>
      <c r="E17" s="458">
        <v>18.143000000000001</v>
      </c>
      <c r="O17" s="95"/>
      <c r="P17" s="95"/>
      <c r="AA17" s="221" t="s">
        <v>244</v>
      </c>
      <c r="AB17" s="222">
        <f>+E19</f>
        <v>0</v>
      </c>
      <c r="AC17" s="223" t="e">
        <f>+AB17/#REF!</f>
        <v>#REF!</v>
      </c>
    </row>
    <row r="18" spans="1:29" s="120" customFormat="1" ht="12" x14ac:dyDescent="0.2">
      <c r="A18" s="106"/>
      <c r="B18" s="489" t="s">
        <v>703</v>
      </c>
      <c r="C18" s="490" t="s">
        <v>1212</v>
      </c>
      <c r="D18" s="411" t="s">
        <v>1213</v>
      </c>
      <c r="E18" s="491">
        <v>388.93838453230768</v>
      </c>
      <c r="J18" s="124"/>
      <c r="O18" s="95"/>
      <c r="P18" s="95"/>
      <c r="AA18" s="221" t="s">
        <v>50</v>
      </c>
      <c r="AB18" s="222">
        <f>+E11</f>
        <v>10.651</v>
      </c>
      <c r="AC18" s="223" t="e">
        <f>+AB18/#REF!</f>
        <v>#REF!</v>
      </c>
    </row>
    <row r="19" spans="1:29" s="120" customFormat="1" ht="13.15" customHeight="1" x14ac:dyDescent="0.2">
      <c r="A19" s="106"/>
      <c r="B19" s="492"/>
      <c r="C19" s="476"/>
      <c r="D19" s="435"/>
      <c r="E19" s="458"/>
      <c r="O19" s="95"/>
      <c r="P19" s="95"/>
      <c r="AA19" s="221" t="s">
        <v>52</v>
      </c>
      <c r="AB19" s="222">
        <f>+E15</f>
        <v>27.673999999999999</v>
      </c>
      <c r="AC19" s="223" t="e">
        <f>+AB19/#REF!</f>
        <v>#REF!</v>
      </c>
    </row>
    <row r="20" spans="1:29" s="120" customFormat="1" ht="13.15" customHeight="1" x14ac:dyDescent="0.2">
      <c r="A20" s="106"/>
      <c r="B20" s="489" t="s">
        <v>704</v>
      </c>
      <c r="C20" s="490" t="s">
        <v>811</v>
      </c>
      <c r="D20" s="411" t="s">
        <v>812</v>
      </c>
      <c r="E20" s="491">
        <v>5.12</v>
      </c>
      <c r="O20" s="95"/>
      <c r="P20" s="95"/>
      <c r="AA20" s="224"/>
      <c r="AB20" s="123"/>
      <c r="AC20" s="123"/>
    </row>
    <row r="21" spans="1:29" s="120" customFormat="1" ht="13.15" customHeight="1" x14ac:dyDescent="0.2">
      <c r="A21" s="106"/>
      <c r="B21" s="492"/>
      <c r="C21" s="476"/>
      <c r="D21" s="435"/>
      <c r="E21" s="493"/>
      <c r="O21" s="95"/>
      <c r="P21" s="95"/>
      <c r="Q21" s="140"/>
    </row>
    <row r="22" spans="1:29" s="120" customFormat="1" ht="13.15" customHeight="1" x14ac:dyDescent="0.2">
      <c r="A22" s="106"/>
      <c r="B22" s="470" t="s">
        <v>710</v>
      </c>
      <c r="C22" s="474"/>
      <c r="D22" s="414"/>
      <c r="E22" s="475">
        <f>SUM(E23:E24)</f>
        <v>362.30161546769233</v>
      </c>
      <c r="O22" s="95"/>
      <c r="P22" s="95"/>
      <c r="Q22" s="140"/>
    </row>
    <row r="23" spans="1:29" s="120" customFormat="1" ht="13.15" customHeight="1" x14ac:dyDescent="0.2">
      <c r="A23" s="106"/>
      <c r="B23" s="470"/>
      <c r="C23" s="474" t="s">
        <v>1212</v>
      </c>
      <c r="D23" s="414" t="s">
        <v>1161</v>
      </c>
      <c r="E23" s="416">
        <v>40.069000000000003</v>
      </c>
      <c r="O23" s="95"/>
      <c r="P23" s="95"/>
      <c r="Q23" s="140"/>
    </row>
    <row r="24" spans="1:29" s="120" customFormat="1" ht="12" x14ac:dyDescent="0.2">
      <c r="A24" s="106"/>
      <c r="B24" s="470"/>
      <c r="C24" s="474"/>
      <c r="D24" s="414" t="s">
        <v>1213</v>
      </c>
      <c r="E24" s="416">
        <v>322.23261546769231</v>
      </c>
    </row>
    <row r="25" spans="1:29" s="120" customFormat="1" ht="12" x14ac:dyDescent="0.2">
      <c r="A25" s="106"/>
      <c r="B25" s="460" t="s">
        <v>778</v>
      </c>
      <c r="C25" s="477"/>
      <c r="D25" s="477"/>
      <c r="E25" s="462">
        <f>SUM(E7,E10,E18,E20,E22)</f>
        <v>1345.4600000000003</v>
      </c>
    </row>
    <row r="26" spans="1:29" s="120" customFormat="1" ht="12.75" x14ac:dyDescent="0.2">
      <c r="A26" s="106"/>
      <c r="B26" s="111" t="s">
        <v>81</v>
      </c>
      <c r="C26" s="129"/>
      <c r="D26" s="141"/>
      <c r="E26" s="128"/>
      <c r="J26" s="124"/>
    </row>
    <row r="27" spans="1:29" s="120" customFormat="1" ht="13.15" customHeight="1" x14ac:dyDescent="0.2">
      <c r="A27" s="106"/>
      <c r="B27" s="126"/>
      <c r="C27" s="126"/>
      <c r="D27" s="142"/>
      <c r="E27" s="118"/>
      <c r="J27" s="124"/>
    </row>
    <row r="28" spans="1:29" s="120" customFormat="1" ht="12.75" x14ac:dyDescent="0.2">
      <c r="A28" s="106"/>
      <c r="B28" s="126"/>
      <c r="C28" s="126"/>
      <c r="D28" s="142"/>
      <c r="E28" s="118"/>
      <c r="J28" s="124"/>
      <c r="K28" s="134"/>
    </row>
    <row r="29" spans="1:29" ht="12.75" x14ac:dyDescent="0.2">
      <c r="A29" s="106"/>
      <c r="G29" s="120"/>
      <c r="H29" s="120"/>
      <c r="I29" s="120"/>
      <c r="J29" s="124"/>
    </row>
    <row r="30" spans="1:29" ht="12.75" x14ac:dyDescent="0.2">
      <c r="A30" s="106"/>
      <c r="B30" s="131"/>
      <c r="G30" s="120"/>
      <c r="H30" s="120"/>
      <c r="J30" s="143"/>
    </row>
    <row r="31" spans="1:29" ht="12.75" x14ac:dyDescent="0.2">
      <c r="A31" s="106"/>
      <c r="G31" s="120"/>
      <c r="H31" s="120"/>
      <c r="I31" s="137"/>
      <c r="J31" s="143"/>
    </row>
    <row r="32" spans="1:29" ht="12.75" x14ac:dyDescent="0.2">
      <c r="A32" s="106"/>
      <c r="G32" s="120"/>
      <c r="H32" s="120"/>
      <c r="J32" s="116"/>
      <c r="K32" s="120"/>
    </row>
    <row r="33" spans="1:11" s="120" customFormat="1" ht="12.75" x14ac:dyDescent="0.2">
      <c r="A33" s="106"/>
      <c r="E33" s="121"/>
      <c r="I33" s="115"/>
      <c r="J33" s="143"/>
    </row>
    <row r="34" spans="1:11" s="120" customFormat="1" ht="12.75" x14ac:dyDescent="0.2">
      <c r="A34" s="106"/>
      <c r="E34" s="121"/>
      <c r="I34" s="115"/>
      <c r="J34" s="143"/>
    </row>
    <row r="35" spans="1:11" s="120" customFormat="1" ht="12.75" x14ac:dyDescent="0.2">
      <c r="A35" s="106"/>
      <c r="E35" s="121"/>
      <c r="I35" s="115"/>
      <c r="J35" s="123"/>
    </row>
    <row r="36" spans="1:11" s="120" customFormat="1" ht="12.75" x14ac:dyDescent="0.2">
      <c r="A36" s="106"/>
      <c r="E36" s="121"/>
      <c r="I36" s="115"/>
      <c r="J36" s="143"/>
    </row>
    <row r="37" spans="1:11" s="120" customFormat="1" ht="12.75" x14ac:dyDescent="0.2">
      <c r="A37" s="117"/>
      <c r="E37" s="121"/>
      <c r="I37" s="115"/>
      <c r="J37" s="123"/>
    </row>
    <row r="38" spans="1:11" s="120" customFormat="1" ht="12.75" x14ac:dyDescent="0.2">
      <c r="A38" s="117"/>
      <c r="E38" s="121"/>
      <c r="G38" s="118"/>
      <c r="H38" s="118"/>
      <c r="I38" s="115"/>
      <c r="J38" s="115"/>
    </row>
    <row r="39" spans="1:11" s="120" customFormat="1" ht="12.75" x14ac:dyDescent="0.2">
      <c r="A39" s="117"/>
      <c r="E39" s="121"/>
      <c r="G39" s="126"/>
      <c r="H39" s="126"/>
      <c r="I39" s="115"/>
      <c r="J39" s="137"/>
    </row>
    <row r="40" spans="1:11" s="120" customFormat="1" ht="12.75" x14ac:dyDescent="0.2">
      <c r="A40" s="117"/>
      <c r="E40" s="121"/>
      <c r="I40" s="115"/>
      <c r="J40" s="115"/>
    </row>
    <row r="41" spans="1:11" s="120" customFormat="1" ht="12.75" x14ac:dyDescent="0.2">
      <c r="A41" s="117"/>
      <c r="E41" s="121"/>
      <c r="G41" s="104"/>
      <c r="H41" s="104"/>
      <c r="I41" s="115"/>
      <c r="J41" s="115"/>
    </row>
    <row r="42" spans="1:11" s="120" customFormat="1" ht="12.75" x14ac:dyDescent="0.2">
      <c r="A42" s="117"/>
      <c r="E42" s="121"/>
      <c r="G42" s="118"/>
      <c r="H42" s="118"/>
      <c r="I42" s="115"/>
      <c r="J42" s="115"/>
    </row>
    <row r="43" spans="1:11" s="120" customFormat="1" ht="12.75" x14ac:dyDescent="0.2">
      <c r="A43" s="117"/>
      <c r="E43" s="121"/>
      <c r="G43" s="118"/>
      <c r="H43" s="118"/>
      <c r="I43" s="115"/>
      <c r="J43" s="115"/>
      <c r="K43" s="118"/>
    </row>
    <row r="44" spans="1:11" ht="12.75" x14ac:dyDescent="0.2">
      <c r="A44" s="117"/>
      <c r="K44" s="126"/>
    </row>
    <row r="45" spans="1:11" s="126" customFormat="1" ht="12.75" customHeight="1" x14ac:dyDescent="0.2">
      <c r="A45" s="117"/>
      <c r="B45" s="120"/>
      <c r="C45" s="120"/>
      <c r="D45" s="120"/>
      <c r="E45" s="121"/>
      <c r="G45" s="118"/>
      <c r="H45" s="118"/>
      <c r="I45" s="115"/>
      <c r="J45" s="115"/>
      <c r="K45" s="120"/>
    </row>
    <row r="46" spans="1:11" s="120" customFormat="1" ht="12.75" x14ac:dyDescent="0.2">
      <c r="A46" s="117"/>
      <c r="E46" s="121"/>
      <c r="F46" s="118"/>
      <c r="G46" s="118"/>
      <c r="H46" s="118"/>
      <c r="I46" s="115"/>
      <c r="J46" s="115"/>
      <c r="K46" s="104"/>
    </row>
    <row r="47" spans="1:11" s="104" customFormat="1" ht="12.75" x14ac:dyDescent="0.2">
      <c r="A47" s="117"/>
      <c r="B47" s="120"/>
      <c r="C47" s="120"/>
      <c r="D47" s="120"/>
      <c r="E47" s="121"/>
      <c r="F47" s="118"/>
      <c r="G47" s="118"/>
      <c r="H47" s="118"/>
      <c r="I47" s="115"/>
      <c r="J47" s="115"/>
      <c r="K47" s="118"/>
    </row>
    <row r="48" spans="1:11" ht="12.75" x14ac:dyDescent="0.2">
      <c r="A48" s="117"/>
      <c r="B48" s="130"/>
      <c r="C48" s="130"/>
      <c r="D48" s="130"/>
      <c r="E48" s="130"/>
    </row>
    <row r="49" spans="1:10" ht="12.75" x14ac:dyDescent="0.2">
      <c r="A49" s="117"/>
    </row>
    <row r="50" spans="1:10" ht="12.75" x14ac:dyDescent="0.2">
      <c r="A50" s="117"/>
      <c r="J50" s="118"/>
    </row>
    <row r="51" spans="1:10" ht="12.75" x14ac:dyDescent="0.2">
      <c r="A51" s="117"/>
      <c r="B51" s="126"/>
      <c r="C51" s="126"/>
      <c r="J51" s="118"/>
    </row>
    <row r="52" spans="1:10" ht="12.75" x14ac:dyDescent="0.2">
      <c r="A52" s="117"/>
      <c r="B52" s="126"/>
      <c r="C52" s="126"/>
      <c r="J52" s="118"/>
    </row>
    <row r="53" spans="1:10" ht="12.75" x14ac:dyDescent="0.2">
      <c r="A53" s="117"/>
      <c r="B53" s="126"/>
      <c r="C53" s="129"/>
      <c r="D53" s="142"/>
      <c r="E53" s="126"/>
      <c r="J53" s="118"/>
    </row>
    <row r="54" spans="1:10" ht="12.75" x14ac:dyDescent="0.2">
      <c r="A54" s="117"/>
      <c r="C54" s="126"/>
      <c r="J54" s="118"/>
    </row>
    <row r="55" spans="1:10" ht="12.75" x14ac:dyDescent="0.2">
      <c r="A55" s="117"/>
      <c r="J55" s="118"/>
    </row>
    <row r="56" spans="1:10" ht="12.75" x14ac:dyDescent="0.2">
      <c r="A56" s="117"/>
      <c r="J56" s="118"/>
    </row>
    <row r="57" spans="1:10" ht="12.75" x14ac:dyDescent="0.2">
      <c r="A57" s="117"/>
      <c r="J57" s="118"/>
    </row>
    <row r="58" spans="1:10" ht="12.75" x14ac:dyDescent="0.2">
      <c r="A58" s="117"/>
      <c r="J58" s="118"/>
    </row>
    <row r="59" spans="1:10" ht="12.75" x14ac:dyDescent="0.2">
      <c r="A59" s="117"/>
      <c r="J59" s="118"/>
    </row>
    <row r="60" spans="1:10" ht="12.75" x14ac:dyDescent="0.2">
      <c r="A60" s="117"/>
      <c r="J60" s="118"/>
    </row>
    <row r="61" spans="1:10" ht="12.75" x14ac:dyDescent="0.2">
      <c r="A61" s="117"/>
      <c r="I61" s="127"/>
      <c r="J61" s="118"/>
    </row>
    <row r="62" spans="1:10" ht="12.75" x14ac:dyDescent="0.2">
      <c r="A62" s="117"/>
      <c r="J62" s="118"/>
    </row>
    <row r="63" spans="1:10" ht="12.75" x14ac:dyDescent="0.2">
      <c r="A63" s="117"/>
      <c r="J63" s="118"/>
    </row>
    <row r="64" spans="1:10" ht="12.75" x14ac:dyDescent="0.2">
      <c r="A64" s="117"/>
      <c r="J64" s="118"/>
    </row>
    <row r="65" spans="1:11" ht="12.75" x14ac:dyDescent="0.2">
      <c r="A65" s="117"/>
      <c r="J65" s="118"/>
    </row>
    <row r="66" spans="1:11" ht="12.75" x14ac:dyDescent="0.2">
      <c r="A66" s="106"/>
    </row>
    <row r="67" spans="1:11" ht="12.75" x14ac:dyDescent="0.2">
      <c r="A67" s="106"/>
    </row>
    <row r="68" spans="1:11" ht="12.75" x14ac:dyDescent="0.2">
      <c r="A68" s="106"/>
    </row>
    <row r="69" spans="1:11" ht="12.75" x14ac:dyDescent="0.2">
      <c r="A69" s="117"/>
      <c r="J69" s="127"/>
    </row>
    <row r="70" spans="1:11" ht="12.75" x14ac:dyDescent="0.2">
      <c r="A70" s="117"/>
    </row>
    <row r="71" spans="1:11" ht="12.75" x14ac:dyDescent="0.2">
      <c r="A71" s="117"/>
    </row>
    <row r="72" spans="1:11" ht="12.75" x14ac:dyDescent="0.2">
      <c r="A72" s="117"/>
      <c r="G72" s="126"/>
      <c r="H72" s="126"/>
    </row>
    <row r="73" spans="1:11" ht="12.75" x14ac:dyDescent="0.2">
      <c r="A73" s="117"/>
    </row>
    <row r="74" spans="1:11" ht="12.75" x14ac:dyDescent="0.2">
      <c r="A74" s="117"/>
    </row>
    <row r="75" spans="1:11" ht="12.75" x14ac:dyDescent="0.2">
      <c r="A75" s="117"/>
    </row>
    <row r="76" spans="1:11" ht="12.75" x14ac:dyDescent="0.2">
      <c r="A76" s="117"/>
    </row>
    <row r="77" spans="1:11" ht="12.75" x14ac:dyDescent="0.2">
      <c r="A77" s="117"/>
      <c r="K77" s="126"/>
    </row>
    <row r="78" spans="1:11" s="126" customFormat="1" ht="12.75" customHeight="1" x14ac:dyDescent="0.2">
      <c r="A78" s="117"/>
      <c r="B78" s="120"/>
      <c r="C78" s="120"/>
      <c r="D78" s="120"/>
      <c r="E78" s="121"/>
      <c r="G78" s="118"/>
      <c r="H78" s="118"/>
      <c r="I78" s="115"/>
      <c r="J78" s="115"/>
      <c r="K78" s="118"/>
    </row>
    <row r="79" spans="1:11" ht="12.75" x14ac:dyDescent="0.2">
      <c r="A79" s="117"/>
    </row>
    <row r="80" spans="1:11" ht="12.75" x14ac:dyDescent="0.2">
      <c r="A80" s="117"/>
    </row>
    <row r="81" spans="1:10" ht="12.75" x14ac:dyDescent="0.2">
      <c r="A81" s="117"/>
    </row>
    <row r="82" spans="1:10" ht="12.75" x14ac:dyDescent="0.2">
      <c r="A82" s="117"/>
      <c r="B82" s="118"/>
      <c r="C82" s="118"/>
      <c r="D82" s="118"/>
      <c r="E82" s="118"/>
      <c r="I82" s="118"/>
      <c r="J82" s="118"/>
    </row>
    <row r="83" spans="1:10" ht="12.75" x14ac:dyDescent="0.2">
      <c r="A83" s="117"/>
      <c r="B83" s="118"/>
      <c r="C83" s="118"/>
      <c r="D83" s="118"/>
      <c r="E83" s="118"/>
      <c r="I83" s="118"/>
      <c r="J83" s="118"/>
    </row>
    <row r="84" spans="1:10" ht="12.75" x14ac:dyDescent="0.2">
      <c r="A84" s="117"/>
      <c r="B84" s="118"/>
      <c r="C84" s="118"/>
      <c r="D84" s="118"/>
      <c r="E84" s="118"/>
      <c r="I84" s="118"/>
      <c r="J84" s="118"/>
    </row>
    <row r="85" spans="1:10" ht="12.75" x14ac:dyDescent="0.2">
      <c r="A85" s="117"/>
      <c r="B85" s="118"/>
      <c r="C85" s="118"/>
      <c r="D85" s="118"/>
      <c r="E85" s="118"/>
      <c r="I85" s="118"/>
      <c r="J85" s="118"/>
    </row>
    <row r="86" spans="1:10" ht="12.75" x14ac:dyDescent="0.2">
      <c r="A86" s="117"/>
      <c r="B86" s="118"/>
      <c r="C86" s="118"/>
      <c r="D86" s="118"/>
      <c r="E86" s="118"/>
      <c r="I86" s="118"/>
      <c r="J86" s="118"/>
    </row>
    <row r="87" spans="1:10" ht="12.75" x14ac:dyDescent="0.2">
      <c r="A87" s="117"/>
      <c r="B87" s="118"/>
      <c r="C87" s="118"/>
      <c r="D87" s="118"/>
      <c r="E87" s="118"/>
      <c r="I87" s="118"/>
      <c r="J87" s="118"/>
    </row>
    <row r="88" spans="1:10" ht="12.75" x14ac:dyDescent="0.2">
      <c r="A88" s="117"/>
      <c r="B88" s="118"/>
      <c r="C88" s="118"/>
      <c r="D88" s="118"/>
      <c r="E88" s="118"/>
      <c r="I88" s="118"/>
      <c r="J88" s="118"/>
    </row>
    <row r="89" spans="1:10" ht="12.75" x14ac:dyDescent="0.2">
      <c r="A89" s="117"/>
      <c r="B89" s="118"/>
      <c r="C89" s="118"/>
      <c r="D89" s="118"/>
      <c r="E89" s="118"/>
      <c r="I89" s="118"/>
      <c r="J89" s="118"/>
    </row>
    <row r="90" spans="1:10" ht="12.75" x14ac:dyDescent="0.2">
      <c r="A90" s="117"/>
      <c r="B90" s="118"/>
      <c r="C90" s="118"/>
      <c r="D90" s="118"/>
      <c r="E90" s="118"/>
      <c r="I90" s="118"/>
      <c r="J90" s="118"/>
    </row>
    <row r="91" spans="1:10" ht="12.75" x14ac:dyDescent="0.2">
      <c r="A91" s="117"/>
      <c r="B91" s="118"/>
      <c r="C91" s="118"/>
      <c r="D91" s="118"/>
      <c r="E91" s="118"/>
      <c r="I91" s="118"/>
      <c r="J91" s="118"/>
    </row>
    <row r="92" spans="1:10" ht="12.75" x14ac:dyDescent="0.2">
      <c r="A92" s="117"/>
      <c r="B92" s="118"/>
      <c r="C92" s="118"/>
      <c r="D92" s="118"/>
      <c r="E92" s="118"/>
      <c r="I92" s="118"/>
      <c r="J92" s="118"/>
    </row>
    <row r="93" spans="1:10" ht="12.75" x14ac:dyDescent="0.2">
      <c r="A93" s="117"/>
      <c r="B93" s="118"/>
      <c r="C93" s="118"/>
      <c r="D93" s="118"/>
      <c r="E93" s="118"/>
      <c r="I93" s="118"/>
      <c r="J93" s="118"/>
    </row>
    <row r="94" spans="1:10" ht="12.75" x14ac:dyDescent="0.2">
      <c r="A94" s="117"/>
      <c r="B94" s="118"/>
      <c r="C94" s="118"/>
      <c r="D94" s="118"/>
      <c r="E94" s="118"/>
      <c r="I94" s="118"/>
      <c r="J94" s="118"/>
    </row>
    <row r="95" spans="1:10" ht="12.75" x14ac:dyDescent="0.2">
      <c r="A95" s="117"/>
      <c r="B95" s="118"/>
      <c r="C95" s="118"/>
      <c r="D95" s="118"/>
      <c r="E95" s="118"/>
      <c r="I95" s="118"/>
      <c r="J95" s="118"/>
    </row>
    <row r="96" spans="1:10" ht="12.75" x14ac:dyDescent="0.2">
      <c r="A96" s="117"/>
      <c r="B96" s="118"/>
      <c r="C96" s="118"/>
      <c r="D96" s="118"/>
      <c r="E96" s="118"/>
      <c r="I96" s="118"/>
      <c r="J96" s="118"/>
    </row>
    <row r="97" spans="1:10" ht="12.75" x14ac:dyDescent="0.2">
      <c r="A97" s="117"/>
      <c r="B97" s="118"/>
      <c r="C97" s="118"/>
      <c r="D97" s="118"/>
      <c r="E97" s="118"/>
      <c r="I97" s="118"/>
      <c r="J97" s="118"/>
    </row>
  </sheetData>
  <hyperlinks>
    <hyperlink ref="A1" location="INDICE!A1" display="(Ir al Índice)" xr:uid="{25A7A2A4-193F-45EC-94A3-354C7399689E}"/>
  </hyperlinks>
  <printOptions horizontalCentered="1"/>
  <pageMargins left="0.78740157480314965" right="0.78740157480314965" top="0.59055118110236227" bottom="0.78740157480314965" header="0.39370078740157483" footer="0.39370078740157483"/>
  <pageSetup paperSize="9" orientation="portrait" r:id="rId1"/>
  <headerFooter alignWithMargins="0">
    <oddFooter xml:space="preserve">&amp;R&amp;8&amp;P+35 &amp;10
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5E0B3"/>
  </sheetPr>
  <dimension ref="A1:E36"/>
  <sheetViews>
    <sheetView showGridLines="0" zoomScale="85" workbookViewId="0">
      <selection activeCell="E34" sqref="E34"/>
    </sheetView>
  </sheetViews>
  <sheetFormatPr baseColWidth="10" defaultColWidth="14.42578125" defaultRowHeight="15" customHeight="1" x14ac:dyDescent="0.25"/>
  <cols>
    <col min="1" max="1" width="4.28515625" customWidth="1"/>
    <col min="2" max="2" width="18.140625" customWidth="1"/>
    <col min="3" max="4" width="22.140625" customWidth="1"/>
    <col min="5" max="5" width="16.5703125" customWidth="1"/>
    <col min="6" max="6" width="14.42578125" customWidth="1"/>
    <col min="7" max="26" width="11.42578125" customWidth="1"/>
  </cols>
  <sheetData>
    <row r="1" spans="1:5" ht="14.25" customHeight="1" x14ac:dyDescent="0.25">
      <c r="A1" s="78" t="s">
        <v>43</v>
      </c>
      <c r="B1" s="47"/>
      <c r="C1" s="18"/>
      <c r="D1" s="18"/>
      <c r="E1" s="8"/>
    </row>
    <row r="2" spans="1:5" ht="14.25" customHeight="1" x14ac:dyDescent="0.25">
      <c r="B2" s="47"/>
      <c r="C2" s="18"/>
      <c r="D2" s="18"/>
      <c r="E2" s="8"/>
    </row>
    <row r="3" spans="1:5" ht="14.25" customHeight="1" x14ac:dyDescent="0.25">
      <c r="B3" s="4" t="s">
        <v>27</v>
      </c>
      <c r="C3" s="4"/>
      <c r="D3" s="18"/>
      <c r="E3" s="8"/>
    </row>
    <row r="4" spans="1:5" ht="14.25" customHeight="1" x14ac:dyDescent="0.25">
      <c r="B4" s="4"/>
      <c r="C4" s="4"/>
      <c r="D4" s="18"/>
      <c r="E4" s="8"/>
    </row>
    <row r="5" spans="1:5" ht="14.25" customHeight="1" x14ac:dyDescent="0.25">
      <c r="B5" s="4" t="s">
        <v>28</v>
      </c>
      <c r="C5" s="18"/>
      <c r="D5" s="18"/>
      <c r="E5" s="8"/>
    </row>
    <row r="6" spans="1:5" ht="14.25" customHeight="1" x14ac:dyDescent="0.25">
      <c r="B6" s="47"/>
      <c r="C6" s="18"/>
      <c r="D6" s="18"/>
      <c r="E6" s="8"/>
    </row>
    <row r="7" spans="1:5" x14ac:dyDescent="0.25">
      <c r="B7" s="272" t="s">
        <v>1929</v>
      </c>
      <c r="C7" s="267"/>
      <c r="D7" s="267"/>
      <c r="E7" s="267"/>
    </row>
    <row r="8" spans="1:5" ht="24.75" customHeight="1" x14ac:dyDescent="0.25">
      <c r="B8" s="495" t="s">
        <v>44</v>
      </c>
      <c r="C8" s="424" t="s">
        <v>271</v>
      </c>
      <c r="D8" s="424" t="s">
        <v>272</v>
      </c>
      <c r="E8" s="496" t="s">
        <v>273</v>
      </c>
    </row>
    <row r="9" spans="1:5" x14ac:dyDescent="0.25">
      <c r="B9" s="497" t="s">
        <v>66</v>
      </c>
      <c r="C9" s="498">
        <v>221824</v>
      </c>
      <c r="D9" s="498">
        <v>288371.20000000001</v>
      </c>
      <c r="E9" s="498">
        <v>4.4695594847967959</v>
      </c>
    </row>
    <row r="10" spans="1:5" x14ac:dyDescent="0.25">
      <c r="A10" s="31"/>
      <c r="B10" s="497" t="s">
        <v>611</v>
      </c>
      <c r="C10" s="498">
        <v>396791</v>
      </c>
      <c r="D10" s="498">
        <v>436470.10000000003</v>
      </c>
      <c r="E10" s="498">
        <v>6.7649927429826766</v>
      </c>
    </row>
    <row r="11" spans="1:5" x14ac:dyDescent="0.25">
      <c r="A11" s="31"/>
      <c r="B11" s="497" t="s">
        <v>68</v>
      </c>
      <c r="C11" s="498">
        <v>219795</v>
      </c>
      <c r="D11" s="498">
        <v>241774.50000000003</v>
      </c>
      <c r="E11" s="498">
        <v>3.747342001063223</v>
      </c>
    </row>
    <row r="12" spans="1:5" x14ac:dyDescent="0.25">
      <c r="A12" s="31"/>
      <c r="B12" s="497" t="s">
        <v>58</v>
      </c>
      <c r="C12" s="498">
        <v>113789</v>
      </c>
      <c r="D12" s="498">
        <v>125167.90000000001</v>
      </c>
      <c r="E12" s="498">
        <v>1.940018194039824</v>
      </c>
    </row>
    <row r="13" spans="1:5" x14ac:dyDescent="0.25">
      <c r="A13" s="31"/>
      <c r="B13" s="497" t="s">
        <v>69</v>
      </c>
      <c r="C13" s="498">
        <v>258131</v>
      </c>
      <c r="D13" s="498">
        <v>283944.10000000003</v>
      </c>
      <c r="E13" s="498">
        <v>4.4009424148704523</v>
      </c>
    </row>
    <row r="14" spans="1:5" x14ac:dyDescent="0.25">
      <c r="A14" s="31"/>
      <c r="B14" s="497" t="s">
        <v>59</v>
      </c>
      <c r="C14" s="498">
        <v>865944</v>
      </c>
      <c r="D14" s="498">
        <v>952538.4</v>
      </c>
      <c r="E14" s="498">
        <v>14.763704004953215</v>
      </c>
    </row>
    <row r="15" spans="1:5" x14ac:dyDescent="0.25">
      <c r="A15" s="31"/>
      <c r="B15" s="497" t="s">
        <v>684</v>
      </c>
      <c r="C15" s="498">
        <v>0</v>
      </c>
      <c r="D15" s="498">
        <v>0</v>
      </c>
      <c r="E15" s="498">
        <v>0</v>
      </c>
    </row>
    <row r="16" spans="1:5" x14ac:dyDescent="0.25">
      <c r="A16" s="31"/>
      <c r="B16" s="401" t="s">
        <v>60</v>
      </c>
      <c r="C16" s="498">
        <v>474275</v>
      </c>
      <c r="D16" s="498">
        <v>521702.50000000006</v>
      </c>
      <c r="E16" s="498">
        <v>8.0860375693453452</v>
      </c>
    </row>
    <row r="17" spans="2:5" x14ac:dyDescent="0.25">
      <c r="B17" s="401" t="s">
        <v>70</v>
      </c>
      <c r="C17" s="498">
        <v>241777</v>
      </c>
      <c r="D17" s="498">
        <v>265954.7</v>
      </c>
      <c r="E17" s="498">
        <v>4.1221188243184006</v>
      </c>
    </row>
    <row r="18" spans="2:5" x14ac:dyDescent="0.25">
      <c r="B18" s="401" t="s">
        <v>71</v>
      </c>
      <c r="C18" s="498">
        <v>345615</v>
      </c>
      <c r="D18" s="498">
        <v>414738</v>
      </c>
      <c r="E18" s="498">
        <v>6.4281598218048588</v>
      </c>
    </row>
    <row r="19" spans="2:5" x14ac:dyDescent="0.25">
      <c r="B19" s="401" t="s">
        <v>72</v>
      </c>
      <c r="C19" s="498">
        <v>64348</v>
      </c>
      <c r="D19" s="498">
        <v>32174</v>
      </c>
      <c r="E19" s="498">
        <v>0.49867534228054711</v>
      </c>
    </row>
    <row r="20" spans="2:5" x14ac:dyDescent="0.25">
      <c r="B20" s="401" t="s">
        <v>73</v>
      </c>
      <c r="C20" s="498">
        <v>361110</v>
      </c>
      <c r="D20" s="498">
        <v>433332</v>
      </c>
      <c r="E20" s="498">
        <v>6.7163543053743409</v>
      </c>
    </row>
    <row r="21" spans="2:5" ht="15.75" customHeight="1" x14ac:dyDescent="0.25">
      <c r="B21" s="401" t="s">
        <v>74</v>
      </c>
      <c r="C21" s="498">
        <v>374525</v>
      </c>
      <c r="D21" s="498">
        <v>359544</v>
      </c>
      <c r="E21" s="498">
        <v>5.5726899752880286</v>
      </c>
    </row>
    <row r="22" spans="2:5" ht="15.75" customHeight="1" x14ac:dyDescent="0.25">
      <c r="B22" s="401" t="s">
        <v>75</v>
      </c>
      <c r="C22" s="498">
        <v>226139</v>
      </c>
      <c r="D22" s="498">
        <v>113069.5</v>
      </c>
      <c r="E22" s="498">
        <v>1.7525011379993263</v>
      </c>
    </row>
    <row r="23" spans="2:5" ht="15.75" customHeight="1" x14ac:dyDescent="0.25">
      <c r="B23" s="401" t="s">
        <v>61</v>
      </c>
      <c r="C23" s="498">
        <v>160609</v>
      </c>
      <c r="D23" s="498">
        <v>80304.5</v>
      </c>
      <c r="E23" s="498">
        <v>1.2446656935465965</v>
      </c>
    </row>
    <row r="24" spans="2:5" ht="15.75" customHeight="1" x14ac:dyDescent="0.25">
      <c r="B24" s="401" t="s">
        <v>50</v>
      </c>
      <c r="C24" s="498">
        <v>276767</v>
      </c>
      <c r="D24" s="498">
        <v>359797.10000000003</v>
      </c>
      <c r="E24" s="498">
        <v>5.576612854915405</v>
      </c>
    </row>
    <row r="25" spans="2:5" ht="15.75" customHeight="1" x14ac:dyDescent="0.25">
      <c r="B25" s="401" t="s">
        <v>51</v>
      </c>
      <c r="C25" s="498">
        <v>24327</v>
      </c>
      <c r="D25" s="498">
        <v>31625.100000000002</v>
      </c>
      <c r="E25" s="498">
        <v>0.49016776176902255</v>
      </c>
    </row>
    <row r="26" spans="2:5" ht="15.75" customHeight="1" x14ac:dyDescent="0.25">
      <c r="B26" s="401" t="s">
        <v>76</v>
      </c>
      <c r="C26" s="498">
        <v>22972</v>
      </c>
      <c r="D26" s="498">
        <v>11486</v>
      </c>
      <c r="E26" s="498">
        <v>0.17802526827358625</v>
      </c>
    </row>
    <row r="27" spans="2:5" ht="15.75" customHeight="1" x14ac:dyDescent="0.25">
      <c r="B27" s="401" t="s">
        <v>77</v>
      </c>
      <c r="C27" s="498">
        <v>93796</v>
      </c>
      <c r="D27" s="498">
        <v>112555.2</v>
      </c>
      <c r="E27" s="498">
        <v>1.7445298341970359</v>
      </c>
    </row>
    <row r="28" spans="2:5" ht="15.75" customHeight="1" x14ac:dyDescent="0.25">
      <c r="B28" s="401" t="s">
        <v>78</v>
      </c>
      <c r="C28" s="498">
        <v>384976</v>
      </c>
      <c r="D28" s="498">
        <v>307980.79999999999</v>
      </c>
      <c r="E28" s="498">
        <v>4.7734950847217235</v>
      </c>
    </row>
    <row r="29" spans="2:5" ht="15.75" customHeight="1" x14ac:dyDescent="0.25">
      <c r="B29" s="401" t="s">
        <v>79</v>
      </c>
      <c r="C29" s="498">
        <v>542049</v>
      </c>
      <c r="D29" s="498">
        <v>596253.9</v>
      </c>
      <c r="E29" s="498">
        <v>9.2415340855538979</v>
      </c>
    </row>
    <row r="30" spans="2:5" ht="15.75" customHeight="1" x14ac:dyDescent="0.25">
      <c r="B30" s="401" t="s">
        <v>52</v>
      </c>
      <c r="C30" s="498">
        <v>259302</v>
      </c>
      <c r="D30" s="498">
        <v>337092.60000000003</v>
      </c>
      <c r="E30" s="498">
        <v>5.2247083883023429</v>
      </c>
    </row>
    <row r="31" spans="2:5" ht="15.75" customHeight="1" x14ac:dyDescent="0.25">
      <c r="B31" s="401" t="s">
        <v>80</v>
      </c>
      <c r="C31" s="498">
        <v>32544</v>
      </c>
      <c r="D31" s="498">
        <v>16272</v>
      </c>
      <c r="E31" s="498">
        <v>0.25220504660872328</v>
      </c>
    </row>
    <row r="32" spans="2:5" ht="15.75" customHeight="1" x14ac:dyDescent="0.25">
      <c r="B32" s="401" t="s">
        <v>274</v>
      </c>
      <c r="C32" s="498">
        <v>14271</v>
      </c>
      <c r="D32" s="498">
        <v>7135.5</v>
      </c>
      <c r="E32" s="498">
        <v>0.11059544678444844</v>
      </c>
    </row>
    <row r="33" spans="2:5" ht="15.75" customHeight="1" x14ac:dyDescent="0.25">
      <c r="B33" s="401" t="s">
        <v>244</v>
      </c>
      <c r="C33" s="498">
        <v>94315</v>
      </c>
      <c r="D33" s="498">
        <v>122609.5</v>
      </c>
      <c r="E33" s="498">
        <v>1.9003647162101927</v>
      </c>
    </row>
    <row r="34" spans="2:5" ht="18" customHeight="1" x14ac:dyDescent="0.25">
      <c r="B34" s="499" t="s">
        <v>45</v>
      </c>
      <c r="C34" s="500">
        <f>SUM(C9:C33)</f>
        <v>6069991</v>
      </c>
      <c r="D34" s="501">
        <f>SUM(D9:D33)</f>
        <v>6451893.0999999996</v>
      </c>
      <c r="E34" s="502">
        <f>SUM(E9:E33)</f>
        <v>100.00000000000001</v>
      </c>
    </row>
    <row r="35" spans="2:5" ht="15.75" customHeight="1" x14ac:dyDescent="0.25">
      <c r="B35" s="53" t="s">
        <v>275</v>
      </c>
      <c r="C35" s="18"/>
      <c r="D35" s="52"/>
      <c r="E35" s="59"/>
    </row>
    <row r="36" spans="2:5" ht="15.75" customHeight="1" x14ac:dyDescent="0.25">
      <c r="B36" s="53" t="s">
        <v>276</v>
      </c>
      <c r="C36" s="18"/>
      <c r="D36" s="53"/>
      <c r="E36" s="53"/>
    </row>
  </sheetData>
  <mergeCells count="1">
    <mergeCell ref="B7:E7"/>
  </mergeCells>
  <hyperlinks>
    <hyperlink ref="A1" location="INDICE!A1" display="(Ir al Índice)" xr:uid="{C1DC755D-BF41-4945-941D-60B52B575A31}"/>
  </hyperlinks>
  <printOptions horizontalCentered="1"/>
  <pageMargins left="0.70866141732283472" right="0.78740157480314965" top="0.59055118110236227" bottom="0.78740157480314965" header="0" footer="0"/>
  <pageSetup paperSize="9" orientation="portrait"/>
  <headerFooter>
    <oddFooter>&amp;R 41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5E0B3"/>
  </sheetPr>
  <dimension ref="A1:F65"/>
  <sheetViews>
    <sheetView showGridLines="0" topLeftCell="A31" zoomScale="116" workbookViewId="0">
      <selection activeCell="I18" sqref="I18"/>
    </sheetView>
  </sheetViews>
  <sheetFormatPr baseColWidth="10" defaultColWidth="14.42578125" defaultRowHeight="15" customHeight="1" x14ac:dyDescent="0.25"/>
  <cols>
    <col min="1" max="1" width="4.28515625" customWidth="1"/>
    <col min="2" max="2" width="18.28515625" customWidth="1"/>
    <col min="3" max="3" width="22.28515625" customWidth="1"/>
    <col min="4" max="4" width="34.7109375" customWidth="1"/>
    <col min="5" max="5" width="19.5703125" customWidth="1"/>
    <col min="6" max="26" width="11.42578125" customWidth="1"/>
  </cols>
  <sheetData>
    <row r="1" spans="1:6" x14ac:dyDescent="0.25">
      <c r="A1" s="78" t="s">
        <v>43</v>
      </c>
      <c r="B1" s="18"/>
      <c r="C1" s="18"/>
      <c r="D1" s="18"/>
      <c r="E1" s="8"/>
    </row>
    <row r="2" spans="1:6" x14ac:dyDescent="0.25">
      <c r="B2" s="18"/>
      <c r="C2" s="18"/>
      <c r="D2" s="18"/>
      <c r="E2" s="8"/>
    </row>
    <row r="3" spans="1:6" x14ac:dyDescent="0.25">
      <c r="B3" s="4" t="s">
        <v>29</v>
      </c>
      <c r="C3" s="18"/>
      <c r="D3" s="18"/>
      <c r="E3" s="8"/>
    </row>
    <row r="4" spans="1:6" x14ac:dyDescent="0.25">
      <c r="B4" s="18"/>
      <c r="C4" s="18"/>
      <c r="D4" s="18"/>
      <c r="E4" s="8"/>
    </row>
    <row r="5" spans="1:6" x14ac:dyDescent="0.25">
      <c r="B5" s="19" t="s">
        <v>1930</v>
      </c>
      <c r="C5" s="19"/>
      <c r="D5" s="19"/>
      <c r="E5" s="19"/>
    </row>
    <row r="6" spans="1:6" x14ac:dyDescent="0.25">
      <c r="B6" s="424" t="s">
        <v>44</v>
      </c>
      <c r="C6" s="424" t="s">
        <v>268</v>
      </c>
      <c r="D6" s="424" t="s">
        <v>269</v>
      </c>
      <c r="E6" s="515" t="s">
        <v>270</v>
      </c>
    </row>
    <row r="7" spans="1:6" ht="13.9" customHeight="1" x14ac:dyDescent="0.25">
      <c r="A7" s="31"/>
      <c r="B7" s="410" t="s">
        <v>688</v>
      </c>
      <c r="C7" s="490" t="s">
        <v>1111</v>
      </c>
      <c r="D7" s="503" t="s">
        <v>1890</v>
      </c>
      <c r="E7" s="455">
        <v>13.891999999999999</v>
      </c>
    </row>
    <row r="8" spans="1:6" ht="13.9" customHeight="1" x14ac:dyDescent="0.25">
      <c r="A8" s="31"/>
      <c r="B8" s="413"/>
      <c r="C8" s="474"/>
      <c r="D8" s="504" t="s">
        <v>1112</v>
      </c>
      <c r="E8" s="416">
        <v>20</v>
      </c>
    </row>
    <row r="9" spans="1:6" ht="13.9" customHeight="1" x14ac:dyDescent="0.25">
      <c r="A9" s="31"/>
      <c r="B9" s="488" t="s">
        <v>1931</v>
      </c>
      <c r="C9" s="505"/>
      <c r="D9" s="506"/>
      <c r="E9" s="507">
        <v>33.891999999999996</v>
      </c>
    </row>
    <row r="10" spans="1:6" ht="13.9" customHeight="1" x14ac:dyDescent="0.25">
      <c r="A10" s="31"/>
      <c r="B10" s="410" t="s">
        <v>691</v>
      </c>
      <c r="C10" s="490" t="s">
        <v>1932</v>
      </c>
      <c r="D10" s="503" t="s">
        <v>1933</v>
      </c>
      <c r="E10" s="455">
        <v>42</v>
      </c>
      <c r="F10" s="92"/>
    </row>
    <row r="11" spans="1:6" ht="13.9" customHeight="1" x14ac:dyDescent="0.25">
      <c r="A11" s="31"/>
      <c r="B11" s="470"/>
      <c r="C11" s="474"/>
      <c r="D11" s="504" t="s">
        <v>1934</v>
      </c>
      <c r="E11" s="475">
        <v>29.599999999999998</v>
      </c>
    </row>
    <row r="12" spans="1:6" ht="13.9" customHeight="1" x14ac:dyDescent="0.25">
      <c r="A12" s="31"/>
      <c r="B12" s="508"/>
      <c r="C12" s="468" t="s">
        <v>1092</v>
      </c>
      <c r="D12" s="504" t="s">
        <v>1093</v>
      </c>
      <c r="E12" s="416">
        <v>77.7</v>
      </c>
    </row>
    <row r="13" spans="1:6" ht="13.9" customHeight="1" x14ac:dyDescent="0.25">
      <c r="A13" s="31"/>
      <c r="B13" s="413"/>
      <c r="C13" s="474" t="s">
        <v>1935</v>
      </c>
      <c r="D13" s="504" t="s">
        <v>1100</v>
      </c>
      <c r="E13" s="416">
        <v>21.6</v>
      </c>
    </row>
    <row r="14" spans="1:6" ht="13.9" customHeight="1" x14ac:dyDescent="0.25">
      <c r="B14" s="413"/>
      <c r="C14" s="474"/>
      <c r="D14" s="504" t="s">
        <v>1101</v>
      </c>
      <c r="E14" s="416">
        <v>3.6</v>
      </c>
    </row>
    <row r="15" spans="1:6" ht="13.9" customHeight="1" x14ac:dyDescent="0.25">
      <c r="B15" s="413"/>
      <c r="C15" s="474" t="s">
        <v>1936</v>
      </c>
      <c r="D15" s="504" t="s">
        <v>1937</v>
      </c>
      <c r="E15" s="416">
        <v>6.5</v>
      </c>
    </row>
    <row r="16" spans="1:6" ht="13.9" customHeight="1" x14ac:dyDescent="0.25">
      <c r="B16" s="413"/>
      <c r="C16" s="474" t="s">
        <v>1938</v>
      </c>
      <c r="D16" s="504" t="s">
        <v>1939</v>
      </c>
      <c r="E16" s="416">
        <v>51.2</v>
      </c>
    </row>
    <row r="17" spans="2:5" ht="13.9" customHeight="1" x14ac:dyDescent="0.25">
      <c r="B17" s="413"/>
      <c r="C17" s="474" t="s">
        <v>1940</v>
      </c>
      <c r="D17" s="504" t="s">
        <v>1941</v>
      </c>
      <c r="E17" s="416">
        <v>195.39999999999998</v>
      </c>
    </row>
    <row r="18" spans="2:5" ht="13.9" customHeight="1" x14ac:dyDescent="0.25">
      <c r="B18" s="470"/>
      <c r="C18" s="474"/>
      <c r="D18" s="504" t="s">
        <v>1942</v>
      </c>
      <c r="E18" s="416">
        <v>543.08000000000004</v>
      </c>
    </row>
    <row r="19" spans="2:5" ht="13.9" customHeight="1" x14ac:dyDescent="0.25">
      <c r="B19" s="470"/>
      <c r="C19" s="474" t="s">
        <v>1943</v>
      </c>
      <c r="D19" s="504" t="s">
        <v>1944</v>
      </c>
      <c r="E19" s="475">
        <v>79.691999999999979</v>
      </c>
    </row>
    <row r="20" spans="2:5" ht="13.9" customHeight="1" x14ac:dyDescent="0.25">
      <c r="B20" s="470"/>
      <c r="C20" s="474" t="s">
        <v>1945</v>
      </c>
      <c r="D20" s="504" t="s">
        <v>1946</v>
      </c>
      <c r="E20" s="416">
        <v>11.67</v>
      </c>
    </row>
    <row r="21" spans="2:5" ht="13.9" customHeight="1" x14ac:dyDescent="0.25">
      <c r="B21" s="488" t="s">
        <v>1947</v>
      </c>
      <c r="C21" s="505"/>
      <c r="D21" s="506"/>
      <c r="E21" s="507">
        <v>1062.0420000000001</v>
      </c>
    </row>
    <row r="22" spans="2:5" ht="13.9" customHeight="1" x14ac:dyDescent="0.25">
      <c r="B22" s="410" t="s">
        <v>697</v>
      </c>
      <c r="C22" s="490" t="s">
        <v>1948</v>
      </c>
      <c r="D22" s="503" t="s">
        <v>571</v>
      </c>
      <c r="E22" s="455">
        <v>130.05799999999999</v>
      </c>
    </row>
    <row r="23" spans="2:5" ht="13.9" customHeight="1" x14ac:dyDescent="0.25">
      <c r="B23" s="488" t="s">
        <v>1949</v>
      </c>
      <c r="C23" s="505"/>
      <c r="D23" s="506"/>
      <c r="E23" s="507">
        <v>130.05799999999999</v>
      </c>
    </row>
    <row r="24" spans="2:5" ht="13.9" customHeight="1" x14ac:dyDescent="0.25">
      <c r="B24" s="410" t="s">
        <v>700</v>
      </c>
      <c r="C24" s="490" t="s">
        <v>1948</v>
      </c>
      <c r="D24" s="503" t="s">
        <v>571</v>
      </c>
      <c r="E24" s="455">
        <v>25.8</v>
      </c>
    </row>
    <row r="25" spans="2:5" ht="13.9" customHeight="1" x14ac:dyDescent="0.25">
      <c r="B25" s="488" t="s">
        <v>1950</v>
      </c>
      <c r="C25" s="505"/>
      <c r="D25" s="506"/>
      <c r="E25" s="507">
        <v>25.8</v>
      </c>
    </row>
    <row r="26" spans="2:5" ht="13.9" customHeight="1" x14ac:dyDescent="0.25">
      <c r="B26" s="410" t="s">
        <v>701</v>
      </c>
      <c r="C26" s="490" t="s">
        <v>1899</v>
      </c>
      <c r="D26" s="503" t="s">
        <v>1900</v>
      </c>
      <c r="E26" s="455">
        <v>30</v>
      </c>
    </row>
    <row r="27" spans="2:5" ht="13.9" customHeight="1" x14ac:dyDescent="0.25">
      <c r="B27" s="470"/>
      <c r="C27" s="474" t="s">
        <v>1948</v>
      </c>
      <c r="D27" s="504" t="s">
        <v>571</v>
      </c>
      <c r="E27" s="416">
        <v>30</v>
      </c>
    </row>
    <row r="28" spans="2:5" ht="13.9" customHeight="1" x14ac:dyDescent="0.25">
      <c r="B28" s="488" t="s">
        <v>1951</v>
      </c>
      <c r="C28" s="505"/>
      <c r="D28" s="506"/>
      <c r="E28" s="507">
        <v>60</v>
      </c>
    </row>
    <row r="29" spans="2:5" ht="13.9" customHeight="1" x14ac:dyDescent="0.25">
      <c r="B29" s="410" t="s">
        <v>704</v>
      </c>
      <c r="C29" s="490" t="s">
        <v>811</v>
      </c>
      <c r="D29" s="503" t="s">
        <v>812</v>
      </c>
      <c r="E29" s="455">
        <v>105.79999999999998</v>
      </c>
    </row>
    <row r="30" spans="2:5" ht="13.9" customHeight="1" x14ac:dyDescent="0.25">
      <c r="B30" s="470"/>
      <c r="C30" s="474" t="s">
        <v>836</v>
      </c>
      <c r="D30" s="504" t="s">
        <v>838</v>
      </c>
      <c r="E30" s="416">
        <v>49.709999999999994</v>
      </c>
    </row>
    <row r="31" spans="2:5" ht="13.9" customHeight="1" x14ac:dyDescent="0.25">
      <c r="B31" s="470"/>
      <c r="C31" s="474" t="s">
        <v>1089</v>
      </c>
      <c r="D31" s="504" t="s">
        <v>1090</v>
      </c>
      <c r="E31" s="416">
        <v>80.454999999999998</v>
      </c>
    </row>
    <row r="32" spans="2:5" ht="13.9" customHeight="1" x14ac:dyDescent="0.25">
      <c r="B32" s="413"/>
      <c r="C32" s="474" t="s">
        <v>1244</v>
      </c>
      <c r="D32" s="504" t="s">
        <v>1119</v>
      </c>
      <c r="E32" s="416">
        <v>8500</v>
      </c>
    </row>
    <row r="33" spans="2:5" ht="13.9" customHeight="1" x14ac:dyDescent="0.25">
      <c r="B33" s="470"/>
      <c r="C33" s="474" t="s">
        <v>1510</v>
      </c>
      <c r="D33" s="504" t="s">
        <v>1511</v>
      </c>
      <c r="E33" s="416">
        <v>30.02</v>
      </c>
    </row>
    <row r="34" spans="2:5" ht="13.9" customHeight="1" x14ac:dyDescent="0.25">
      <c r="B34" s="470"/>
      <c r="C34" s="474"/>
      <c r="D34" s="504" t="s">
        <v>892</v>
      </c>
      <c r="E34" s="416">
        <v>0.48</v>
      </c>
    </row>
    <row r="35" spans="2:5" ht="13.9" customHeight="1" x14ac:dyDescent="0.25">
      <c r="B35" s="413"/>
      <c r="C35" s="474" t="s">
        <v>1567</v>
      </c>
      <c r="D35" s="504" t="s">
        <v>1569</v>
      </c>
      <c r="E35" s="416">
        <v>7.9399999999999995</v>
      </c>
    </row>
    <row r="36" spans="2:5" ht="13.9" customHeight="1" x14ac:dyDescent="0.25">
      <c r="B36" s="470"/>
      <c r="C36" s="474"/>
      <c r="D36" s="504" t="s">
        <v>1570</v>
      </c>
      <c r="E36" s="416">
        <v>624.82900000000018</v>
      </c>
    </row>
    <row r="37" spans="2:5" ht="13.9" customHeight="1" x14ac:dyDescent="0.25">
      <c r="B37" s="470"/>
      <c r="C37" s="474" t="s">
        <v>1587</v>
      </c>
      <c r="D37" s="504" t="s">
        <v>1591</v>
      </c>
      <c r="E37" s="416">
        <v>24.788</v>
      </c>
    </row>
    <row r="38" spans="2:5" ht="13.9" customHeight="1" x14ac:dyDescent="0.25">
      <c r="B38" s="470"/>
      <c r="C38" s="474" t="s">
        <v>1948</v>
      </c>
      <c r="D38" s="504" t="s">
        <v>571</v>
      </c>
      <c r="E38" s="416">
        <v>344.88399999999996</v>
      </c>
    </row>
    <row r="39" spans="2:5" ht="13.9" customHeight="1" x14ac:dyDescent="0.25">
      <c r="B39" s="488" t="s">
        <v>1952</v>
      </c>
      <c r="C39" s="505"/>
      <c r="D39" s="506"/>
      <c r="E39" s="507">
        <v>9768.9060000000009</v>
      </c>
    </row>
    <row r="40" spans="2:5" ht="13.9" customHeight="1" x14ac:dyDescent="0.25">
      <c r="B40" s="410" t="s">
        <v>705</v>
      </c>
      <c r="C40" s="490" t="s">
        <v>1936</v>
      </c>
      <c r="D40" s="503" t="s">
        <v>1937</v>
      </c>
      <c r="E40" s="455">
        <v>12</v>
      </c>
    </row>
    <row r="41" spans="2:5" ht="13.9" customHeight="1" x14ac:dyDescent="0.25">
      <c r="B41" s="488" t="s">
        <v>1953</v>
      </c>
      <c r="C41" s="505"/>
      <c r="D41" s="506"/>
      <c r="E41" s="507">
        <v>12</v>
      </c>
    </row>
    <row r="42" spans="2:5" ht="13.9" customHeight="1" x14ac:dyDescent="0.25">
      <c r="B42" s="410" t="s">
        <v>707</v>
      </c>
      <c r="C42" s="490" t="s">
        <v>1954</v>
      </c>
      <c r="D42" s="503" t="s">
        <v>1955</v>
      </c>
      <c r="E42" s="455">
        <v>2534.3224999999998</v>
      </c>
    </row>
    <row r="43" spans="2:5" ht="13.9" customHeight="1" x14ac:dyDescent="0.25">
      <c r="B43" s="509"/>
      <c r="C43" s="474" t="s">
        <v>1099</v>
      </c>
      <c r="D43" s="504" t="s">
        <v>1100</v>
      </c>
      <c r="E43" s="416">
        <v>58.481999999999999</v>
      </c>
    </row>
    <row r="44" spans="2:5" ht="13.9" customHeight="1" x14ac:dyDescent="0.25">
      <c r="B44" s="510"/>
      <c r="C44" s="474"/>
      <c r="D44" s="504" t="s">
        <v>1101</v>
      </c>
      <c r="E44" s="416">
        <v>45.518999999999991</v>
      </c>
    </row>
    <row r="45" spans="2:5" ht="13.9" customHeight="1" x14ac:dyDescent="0.25">
      <c r="B45" s="413"/>
      <c r="C45" s="474" t="s">
        <v>1956</v>
      </c>
      <c r="D45" s="504" t="s">
        <v>1957</v>
      </c>
      <c r="E45" s="415">
        <v>2.72</v>
      </c>
    </row>
    <row r="46" spans="2:5" ht="13.9" customHeight="1" x14ac:dyDescent="0.25">
      <c r="B46" s="413"/>
      <c r="C46" s="474" t="s">
        <v>1899</v>
      </c>
      <c r="D46" s="504" t="s">
        <v>1900</v>
      </c>
      <c r="E46" s="415">
        <v>47.546000000000006</v>
      </c>
    </row>
    <row r="47" spans="2:5" ht="13.9" customHeight="1" x14ac:dyDescent="0.25">
      <c r="B47" s="488" t="s">
        <v>1958</v>
      </c>
      <c r="C47" s="505"/>
      <c r="D47" s="506"/>
      <c r="E47" s="511">
        <v>2688.5894999999991</v>
      </c>
    </row>
    <row r="48" spans="2:5" ht="13.9" customHeight="1" x14ac:dyDescent="0.25">
      <c r="B48" s="410" t="s">
        <v>708</v>
      </c>
      <c r="C48" s="490" t="s">
        <v>811</v>
      </c>
      <c r="D48" s="503" t="s">
        <v>812</v>
      </c>
      <c r="E48" s="455">
        <v>0.4</v>
      </c>
    </row>
    <row r="49" spans="2:5" ht="13.9" customHeight="1" x14ac:dyDescent="0.25">
      <c r="B49" s="413"/>
      <c r="C49" s="474" t="s">
        <v>1675</v>
      </c>
      <c r="D49" s="504" t="s">
        <v>896</v>
      </c>
      <c r="E49" s="416">
        <v>7.6920000000000002</v>
      </c>
    </row>
    <row r="50" spans="2:5" ht="13.9" customHeight="1" x14ac:dyDescent="0.25">
      <c r="B50" s="413"/>
      <c r="C50" s="474" t="s">
        <v>913</v>
      </c>
      <c r="D50" s="504" t="s">
        <v>915</v>
      </c>
      <c r="E50" s="416">
        <v>7.4830000000000005</v>
      </c>
    </row>
    <row r="51" spans="2:5" ht="13.9" customHeight="1" x14ac:dyDescent="0.25">
      <c r="B51" s="470"/>
      <c r="C51" s="474" t="s">
        <v>1015</v>
      </c>
      <c r="D51" s="504" t="s">
        <v>1016</v>
      </c>
      <c r="E51" s="416">
        <v>6.3380000000000001</v>
      </c>
    </row>
    <row r="52" spans="2:5" ht="13.9" customHeight="1" x14ac:dyDescent="0.25">
      <c r="B52" s="413"/>
      <c r="C52" s="474" t="s">
        <v>1230</v>
      </c>
      <c r="D52" s="504" t="s">
        <v>1231</v>
      </c>
      <c r="E52" s="416">
        <v>13.59</v>
      </c>
    </row>
    <row r="53" spans="2:5" ht="13.9" customHeight="1" x14ac:dyDescent="0.25">
      <c r="B53" s="413"/>
      <c r="C53" s="474" t="s">
        <v>1329</v>
      </c>
      <c r="D53" s="504" t="s">
        <v>1330</v>
      </c>
      <c r="E53" s="416">
        <v>7.02</v>
      </c>
    </row>
    <row r="54" spans="2:5" ht="13.9" customHeight="1" x14ac:dyDescent="0.25">
      <c r="B54" s="470"/>
      <c r="C54" s="474" t="s">
        <v>1497</v>
      </c>
      <c r="D54" s="504" t="s">
        <v>1499</v>
      </c>
      <c r="E54" s="416">
        <v>5.04</v>
      </c>
    </row>
    <row r="55" spans="2:5" ht="13.9" customHeight="1" x14ac:dyDescent="0.25">
      <c r="B55" s="413"/>
      <c r="C55" s="474" t="s">
        <v>1510</v>
      </c>
      <c r="D55" s="504" t="s">
        <v>1511</v>
      </c>
      <c r="E55" s="416">
        <v>41.43</v>
      </c>
    </row>
    <row r="56" spans="2:5" ht="13.9" customHeight="1" x14ac:dyDescent="0.25">
      <c r="B56" s="488" t="s">
        <v>1959</v>
      </c>
      <c r="C56" s="505"/>
      <c r="D56" s="506"/>
      <c r="E56" s="507">
        <v>88.992999999999995</v>
      </c>
    </row>
    <row r="57" spans="2:5" ht="15.75" customHeight="1" x14ac:dyDescent="0.25">
      <c r="B57" s="410" t="s">
        <v>709</v>
      </c>
      <c r="C57" s="490" t="s">
        <v>1938</v>
      </c>
      <c r="D57" s="503" t="s">
        <v>1939</v>
      </c>
      <c r="E57" s="455">
        <v>283.18000000000006</v>
      </c>
    </row>
    <row r="58" spans="2:5" ht="15.75" customHeight="1" x14ac:dyDescent="0.25">
      <c r="B58" s="488" t="s">
        <v>1960</v>
      </c>
      <c r="C58" s="505"/>
      <c r="D58" s="506"/>
      <c r="E58" s="507">
        <v>283.18000000000006</v>
      </c>
    </row>
    <row r="59" spans="2:5" ht="15.75" customHeight="1" x14ac:dyDescent="0.25">
      <c r="B59" s="410" t="s">
        <v>710</v>
      </c>
      <c r="C59" s="490" t="s">
        <v>884</v>
      </c>
      <c r="D59" s="512" t="s">
        <v>886</v>
      </c>
      <c r="E59" s="455">
        <v>8.1</v>
      </c>
    </row>
    <row r="60" spans="2:5" ht="15" customHeight="1" x14ac:dyDescent="0.25">
      <c r="B60" s="513"/>
      <c r="C60" s="468" t="s">
        <v>1146</v>
      </c>
      <c r="D60" s="504" t="s">
        <v>1151</v>
      </c>
      <c r="E60" s="469">
        <v>12</v>
      </c>
    </row>
    <row r="61" spans="2:5" ht="15" customHeight="1" x14ac:dyDescent="0.25">
      <c r="B61" s="470"/>
      <c r="C61" s="474" t="s">
        <v>1212</v>
      </c>
      <c r="D61" s="504" t="s">
        <v>1213</v>
      </c>
      <c r="E61" s="416">
        <v>32.1</v>
      </c>
    </row>
    <row r="62" spans="2:5" ht="15" customHeight="1" x14ac:dyDescent="0.25">
      <c r="B62" s="470"/>
      <c r="C62" s="474" t="s">
        <v>1230</v>
      </c>
      <c r="D62" s="504" t="s">
        <v>1231</v>
      </c>
      <c r="E62" s="416">
        <v>72</v>
      </c>
    </row>
    <row r="63" spans="2:5" ht="15" customHeight="1" x14ac:dyDescent="0.25">
      <c r="B63" s="470"/>
      <c r="C63" s="474" t="s">
        <v>1948</v>
      </c>
      <c r="D63" s="504" t="s">
        <v>571</v>
      </c>
      <c r="E63" s="416">
        <v>105101.60720000003</v>
      </c>
    </row>
    <row r="64" spans="2:5" ht="15" customHeight="1" x14ac:dyDescent="0.25">
      <c r="B64" s="488" t="s">
        <v>1961</v>
      </c>
      <c r="C64" s="505"/>
      <c r="D64" s="506"/>
      <c r="E64" s="507">
        <v>105225.80720000002</v>
      </c>
    </row>
    <row r="65" spans="2:5" ht="15" customHeight="1" x14ac:dyDescent="0.25">
      <c r="B65" s="460" t="s">
        <v>778</v>
      </c>
      <c r="C65" s="477"/>
      <c r="D65" s="514"/>
      <c r="E65" s="462">
        <f>SUM(E9,E21,E23,E25,E28,E39,E41,E47,E56,E58,E64)</f>
        <v>119379.26770000003</v>
      </c>
    </row>
  </sheetData>
  <hyperlinks>
    <hyperlink ref="A1" location="INDICE!A1" display="(Ir al Índice)" xr:uid="{6D07F9C4-81A0-4A89-BEFB-CC8C716AB744}"/>
  </hyperlinks>
  <printOptions horizontalCentered="1"/>
  <pageMargins left="0.78740157480314965" right="0.59055118110236227" top="0.78740157480314965" bottom="0.78740157480314965" header="0" footer="0"/>
  <pageSetup paperSize="9" orientation="portrait"/>
  <headerFooter>
    <oddFooter>&amp;R&amp;P+39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5E0B3"/>
  </sheetPr>
  <dimension ref="A1:G295"/>
  <sheetViews>
    <sheetView showGridLines="0" topLeftCell="A19" workbookViewId="0">
      <selection activeCell="L32" sqref="L32"/>
    </sheetView>
  </sheetViews>
  <sheetFormatPr baseColWidth="10" defaultColWidth="14.42578125" defaultRowHeight="15" customHeight="1" x14ac:dyDescent="0.25"/>
  <cols>
    <col min="1" max="1" width="4.28515625" customWidth="1"/>
    <col min="2" max="2" width="15" customWidth="1"/>
    <col min="3" max="3" width="29.7109375" style="226" customWidth="1"/>
    <col min="4" max="4" width="25.28515625" customWidth="1"/>
    <col min="5" max="5" width="32" customWidth="1"/>
    <col min="6" max="6" width="16.7109375" customWidth="1"/>
    <col min="7" max="7" width="14" customWidth="1"/>
    <col min="8" max="27" width="11.42578125" customWidth="1"/>
  </cols>
  <sheetData>
    <row r="1" spans="1:7" ht="11.25" customHeight="1" x14ac:dyDescent="0.25">
      <c r="A1" s="78" t="s">
        <v>43</v>
      </c>
      <c r="B1" s="18"/>
      <c r="C1" s="18"/>
      <c r="D1" s="18"/>
      <c r="E1" s="18"/>
      <c r="F1" s="18"/>
      <c r="G1" s="60"/>
    </row>
    <row r="2" spans="1:7" ht="11.25" customHeight="1" x14ac:dyDescent="0.25">
      <c r="B2" s="47"/>
      <c r="C2" s="47"/>
      <c r="D2" s="18"/>
      <c r="E2" s="18"/>
      <c r="F2" s="18"/>
      <c r="G2" s="54"/>
    </row>
    <row r="3" spans="1:7" ht="12" customHeight="1" x14ac:dyDescent="0.25">
      <c r="B3" s="4" t="s">
        <v>30</v>
      </c>
      <c r="C3" s="1"/>
      <c r="D3" s="18"/>
      <c r="E3" s="18"/>
      <c r="F3" s="18"/>
      <c r="G3" s="54"/>
    </row>
    <row r="4" spans="1:7" ht="11.25" customHeight="1" x14ac:dyDescent="0.25">
      <c r="B4" s="47"/>
      <c r="C4" s="47"/>
      <c r="D4" s="18"/>
      <c r="E4" s="18"/>
      <c r="F4" s="18"/>
      <c r="G4" s="54"/>
    </row>
    <row r="5" spans="1:7" ht="11.25" customHeight="1" x14ac:dyDescent="0.25">
      <c r="B5" s="91" t="s">
        <v>1962</v>
      </c>
      <c r="C5" s="14"/>
      <c r="D5" s="61"/>
      <c r="E5" s="61"/>
      <c r="F5" s="61"/>
      <c r="G5" s="61"/>
    </row>
    <row r="6" spans="1:7" ht="19.149999999999999" customHeight="1" x14ac:dyDescent="0.25">
      <c r="B6" s="424" t="s">
        <v>44</v>
      </c>
      <c r="C6" s="424" t="s">
        <v>281</v>
      </c>
      <c r="D6" s="424" t="s">
        <v>147</v>
      </c>
      <c r="E6" s="424" t="s">
        <v>146</v>
      </c>
      <c r="F6" s="424" t="s">
        <v>277</v>
      </c>
      <c r="G6" s="558" t="s">
        <v>196</v>
      </c>
    </row>
    <row r="7" spans="1:7" ht="12" customHeight="1" x14ac:dyDescent="0.25">
      <c r="A7" s="31"/>
      <c r="B7" s="516" t="s">
        <v>688</v>
      </c>
      <c r="C7" s="517" t="s">
        <v>1963</v>
      </c>
      <c r="D7" s="518" t="s">
        <v>1963</v>
      </c>
      <c r="E7" s="519" t="s">
        <v>1964</v>
      </c>
      <c r="F7" s="520" t="s">
        <v>1965</v>
      </c>
      <c r="G7" s="521">
        <v>16104</v>
      </c>
    </row>
    <row r="8" spans="1:7" ht="12" customHeight="1" x14ac:dyDescent="0.25">
      <c r="A8" s="31"/>
      <c r="B8" s="513"/>
      <c r="C8" s="522" t="s">
        <v>1966</v>
      </c>
      <c r="D8" s="523" t="s">
        <v>1966</v>
      </c>
      <c r="E8" s="524" t="s">
        <v>1967</v>
      </c>
      <c r="F8" s="473" t="s">
        <v>1965</v>
      </c>
      <c r="G8" s="525">
        <v>34347</v>
      </c>
    </row>
    <row r="9" spans="1:7" ht="12" customHeight="1" x14ac:dyDescent="0.25">
      <c r="A9" s="31"/>
      <c r="B9" s="513"/>
      <c r="C9" s="522" t="s">
        <v>1968</v>
      </c>
      <c r="D9" s="523" t="s">
        <v>1969</v>
      </c>
      <c r="E9" s="524" t="s">
        <v>1970</v>
      </c>
      <c r="F9" s="473" t="s">
        <v>1971</v>
      </c>
      <c r="G9" s="526">
        <v>30000</v>
      </c>
    </row>
    <row r="10" spans="1:7" ht="12" customHeight="1" x14ac:dyDescent="0.25">
      <c r="A10" s="31"/>
      <c r="B10" s="545"/>
      <c r="C10" s="540" t="s">
        <v>1972</v>
      </c>
      <c r="D10" s="541" t="s">
        <v>1969</v>
      </c>
      <c r="E10" s="542" t="s">
        <v>1970</v>
      </c>
      <c r="F10" s="543" t="s">
        <v>1971</v>
      </c>
      <c r="G10" s="546">
        <v>373042</v>
      </c>
    </row>
    <row r="11" spans="1:7" ht="12" customHeight="1" x14ac:dyDescent="0.25">
      <c r="A11" s="31"/>
      <c r="B11" s="516" t="s">
        <v>689</v>
      </c>
      <c r="C11" s="517" t="s">
        <v>1973</v>
      </c>
      <c r="D11" s="518" t="s">
        <v>1973</v>
      </c>
      <c r="E11" s="519" t="s">
        <v>1974</v>
      </c>
      <c r="F11" s="520" t="s">
        <v>1965</v>
      </c>
      <c r="G11" s="547">
        <v>200</v>
      </c>
    </row>
    <row r="12" spans="1:7" ht="12" customHeight="1" x14ac:dyDescent="0.25">
      <c r="A12" s="31"/>
      <c r="B12" s="513"/>
      <c r="C12" s="522" t="s">
        <v>1975</v>
      </c>
      <c r="D12" s="523" t="s">
        <v>1973</v>
      </c>
      <c r="E12" s="524" t="s">
        <v>1974</v>
      </c>
      <c r="F12" s="473" t="s">
        <v>1965</v>
      </c>
      <c r="G12" s="526">
        <v>800</v>
      </c>
    </row>
    <row r="13" spans="1:7" ht="12" customHeight="1" x14ac:dyDescent="0.25">
      <c r="A13" s="31"/>
      <c r="B13" s="513"/>
      <c r="C13" s="522" t="s">
        <v>1976</v>
      </c>
      <c r="D13" s="523" t="s">
        <v>1977</v>
      </c>
      <c r="E13" s="524" t="s">
        <v>1978</v>
      </c>
      <c r="F13" s="473" t="s">
        <v>1971</v>
      </c>
      <c r="G13" s="526">
        <v>11500</v>
      </c>
    </row>
    <row r="14" spans="1:7" ht="12" customHeight="1" x14ac:dyDescent="0.25">
      <c r="A14" s="31"/>
      <c r="B14" s="545"/>
      <c r="C14" s="540" t="s">
        <v>1972</v>
      </c>
      <c r="D14" s="541" t="s">
        <v>1969</v>
      </c>
      <c r="E14" s="542" t="s">
        <v>1970</v>
      </c>
      <c r="F14" s="543" t="s">
        <v>1971</v>
      </c>
      <c r="G14" s="546">
        <v>1614776.5499999998</v>
      </c>
    </row>
    <row r="15" spans="1:7" ht="15" customHeight="1" x14ac:dyDescent="0.25">
      <c r="B15" s="516" t="s">
        <v>690</v>
      </c>
      <c r="C15" s="517" t="s">
        <v>1973</v>
      </c>
      <c r="D15" s="518" t="s">
        <v>1973</v>
      </c>
      <c r="E15" s="519" t="s">
        <v>1974</v>
      </c>
      <c r="F15" s="520" t="s">
        <v>1965</v>
      </c>
      <c r="G15" s="547">
        <v>184600</v>
      </c>
    </row>
    <row r="16" spans="1:7" ht="12" customHeight="1" x14ac:dyDescent="0.25">
      <c r="B16" s="545"/>
      <c r="C16" s="540" t="s">
        <v>1972</v>
      </c>
      <c r="D16" s="541" t="s">
        <v>1969</v>
      </c>
      <c r="E16" s="542" t="s">
        <v>1970</v>
      </c>
      <c r="F16" s="543" t="s">
        <v>1971</v>
      </c>
      <c r="G16" s="546">
        <v>243000</v>
      </c>
    </row>
    <row r="17" spans="2:7" ht="12" customHeight="1" x14ac:dyDescent="0.25">
      <c r="B17" s="548" t="s">
        <v>691</v>
      </c>
      <c r="C17" s="517" t="s">
        <v>1979</v>
      </c>
      <c r="D17" s="518" t="s">
        <v>1979</v>
      </c>
      <c r="E17" s="519" t="s">
        <v>1980</v>
      </c>
      <c r="F17" s="520" t="s">
        <v>1971</v>
      </c>
      <c r="G17" s="547">
        <v>205113</v>
      </c>
    </row>
    <row r="18" spans="2:7" ht="12" customHeight="1" x14ac:dyDescent="0.25">
      <c r="B18" s="508"/>
      <c r="C18" s="522" t="s">
        <v>1981</v>
      </c>
      <c r="D18" s="523" t="s">
        <v>1982</v>
      </c>
      <c r="E18" s="524" t="s">
        <v>1983</v>
      </c>
      <c r="F18" s="473" t="s">
        <v>1971</v>
      </c>
      <c r="G18" s="526">
        <v>4740</v>
      </c>
    </row>
    <row r="19" spans="2:7" ht="12" customHeight="1" x14ac:dyDescent="0.25">
      <c r="B19" s="508"/>
      <c r="C19" s="522" t="s">
        <v>1976</v>
      </c>
      <c r="D19" s="523" t="s">
        <v>1984</v>
      </c>
      <c r="E19" s="524" t="s">
        <v>1985</v>
      </c>
      <c r="F19" s="473" t="s">
        <v>1971</v>
      </c>
      <c r="G19" s="526">
        <v>4063.6</v>
      </c>
    </row>
    <row r="20" spans="2:7" ht="12" customHeight="1" x14ac:dyDescent="0.25">
      <c r="B20" s="513"/>
      <c r="C20" s="522" t="s">
        <v>1972</v>
      </c>
      <c r="D20" s="523" t="s">
        <v>1969</v>
      </c>
      <c r="E20" s="524" t="s">
        <v>1970</v>
      </c>
      <c r="F20" s="473" t="s">
        <v>1971</v>
      </c>
      <c r="G20" s="526">
        <v>209615</v>
      </c>
    </row>
    <row r="21" spans="2:7" ht="12" customHeight="1" x14ac:dyDescent="0.25">
      <c r="B21" s="508"/>
      <c r="C21" s="522" t="s">
        <v>1986</v>
      </c>
      <c r="D21" s="523" t="s">
        <v>1986</v>
      </c>
      <c r="E21" s="524" t="s">
        <v>1987</v>
      </c>
      <c r="F21" s="473" t="s">
        <v>1971</v>
      </c>
      <c r="G21" s="526">
        <v>373000</v>
      </c>
    </row>
    <row r="22" spans="2:7" ht="12" customHeight="1" x14ac:dyDescent="0.25">
      <c r="B22" s="549"/>
      <c r="C22" s="540"/>
      <c r="D22" s="541"/>
      <c r="E22" s="542" t="s">
        <v>1988</v>
      </c>
      <c r="F22" s="543" t="s">
        <v>1971</v>
      </c>
      <c r="G22" s="546">
        <v>181500</v>
      </c>
    </row>
    <row r="23" spans="2:7" ht="12" customHeight="1" x14ac:dyDescent="0.25">
      <c r="B23" s="516" t="s">
        <v>692</v>
      </c>
      <c r="C23" s="517" t="s">
        <v>1989</v>
      </c>
      <c r="D23" s="518" t="s">
        <v>1989</v>
      </c>
      <c r="E23" s="519" t="s">
        <v>1990</v>
      </c>
      <c r="F23" s="520" t="s">
        <v>1971</v>
      </c>
      <c r="G23" s="547">
        <v>1972995</v>
      </c>
    </row>
    <row r="24" spans="2:7" ht="12" customHeight="1" x14ac:dyDescent="0.25">
      <c r="B24" s="513"/>
      <c r="C24" s="522" t="s">
        <v>1991</v>
      </c>
      <c r="D24" s="523" t="s">
        <v>1992</v>
      </c>
      <c r="E24" s="524" t="s">
        <v>1993</v>
      </c>
      <c r="F24" s="473" t="s">
        <v>1965</v>
      </c>
      <c r="G24" s="526">
        <v>50</v>
      </c>
    </row>
    <row r="25" spans="2:7" ht="12" customHeight="1" x14ac:dyDescent="0.25">
      <c r="B25" s="513"/>
      <c r="C25" s="522" t="s">
        <v>1994</v>
      </c>
      <c r="D25" s="523" t="s">
        <v>1936</v>
      </c>
      <c r="E25" s="524" t="s">
        <v>1995</v>
      </c>
      <c r="F25" s="473" t="s">
        <v>1971</v>
      </c>
      <c r="G25" s="526">
        <v>200987</v>
      </c>
    </row>
    <row r="26" spans="2:7" ht="12" customHeight="1" x14ac:dyDescent="0.25">
      <c r="B26" s="513"/>
      <c r="C26" s="522" t="s">
        <v>1968</v>
      </c>
      <c r="D26" s="523" t="s">
        <v>1969</v>
      </c>
      <c r="E26" s="524" t="s">
        <v>1996</v>
      </c>
      <c r="F26" s="473" t="s">
        <v>1971</v>
      </c>
      <c r="G26" s="526">
        <v>482500</v>
      </c>
    </row>
    <row r="27" spans="2:7" ht="12" customHeight="1" x14ac:dyDescent="0.25">
      <c r="B27" s="545"/>
      <c r="C27" s="540" t="s">
        <v>1972</v>
      </c>
      <c r="D27" s="541" t="s">
        <v>1969</v>
      </c>
      <c r="E27" s="542" t="s">
        <v>1996</v>
      </c>
      <c r="F27" s="543" t="s">
        <v>1971</v>
      </c>
      <c r="G27" s="546">
        <v>12566633.52</v>
      </c>
    </row>
    <row r="28" spans="2:7" ht="12" customHeight="1" x14ac:dyDescent="0.25">
      <c r="B28" s="516" t="s">
        <v>693</v>
      </c>
      <c r="C28" s="517" t="s">
        <v>1976</v>
      </c>
      <c r="D28" s="518" t="s">
        <v>1997</v>
      </c>
      <c r="E28" s="519" t="s">
        <v>1998</v>
      </c>
      <c r="F28" s="520" t="s">
        <v>1971</v>
      </c>
      <c r="G28" s="547">
        <v>1361</v>
      </c>
    </row>
    <row r="29" spans="2:7" ht="12" customHeight="1" x14ac:dyDescent="0.25">
      <c r="B29" s="513"/>
      <c r="C29" s="522"/>
      <c r="D29" s="523" t="s">
        <v>1999</v>
      </c>
      <c r="E29" s="524" t="s">
        <v>2000</v>
      </c>
      <c r="F29" s="473" t="s">
        <v>1971</v>
      </c>
      <c r="G29" s="526">
        <v>581</v>
      </c>
    </row>
    <row r="30" spans="2:7" ht="12" customHeight="1" x14ac:dyDescent="0.25">
      <c r="B30" s="513"/>
      <c r="C30" s="522"/>
      <c r="D30" s="523" t="s">
        <v>2001</v>
      </c>
      <c r="E30" s="524" t="s">
        <v>2002</v>
      </c>
      <c r="F30" s="473" t="s">
        <v>1971</v>
      </c>
      <c r="G30" s="526">
        <v>147</v>
      </c>
    </row>
    <row r="31" spans="2:7" ht="12.75" customHeight="1" x14ac:dyDescent="0.25">
      <c r="B31" s="513"/>
      <c r="C31" s="522"/>
      <c r="D31" s="523" t="s">
        <v>2003</v>
      </c>
      <c r="E31" s="524" t="s">
        <v>2004</v>
      </c>
      <c r="F31" s="473" t="s">
        <v>1971</v>
      </c>
      <c r="G31" s="526">
        <v>400</v>
      </c>
    </row>
    <row r="32" spans="2:7" ht="12.75" customHeight="1" x14ac:dyDescent="0.25">
      <c r="B32" s="513"/>
      <c r="C32" s="522"/>
      <c r="D32" s="523" t="s">
        <v>2005</v>
      </c>
      <c r="E32" s="524" t="s">
        <v>2006</v>
      </c>
      <c r="F32" s="473" t="s">
        <v>1971</v>
      </c>
      <c r="G32" s="526">
        <v>3448.5</v>
      </c>
    </row>
    <row r="33" spans="2:7" ht="12" customHeight="1" x14ac:dyDescent="0.25">
      <c r="B33" s="513"/>
      <c r="C33" s="522" t="s">
        <v>2007</v>
      </c>
      <c r="D33" s="523" t="s">
        <v>1969</v>
      </c>
      <c r="E33" s="524" t="s">
        <v>1970</v>
      </c>
      <c r="F33" s="473" t="s">
        <v>1971</v>
      </c>
      <c r="G33" s="526">
        <v>30000</v>
      </c>
    </row>
    <row r="34" spans="2:7" ht="12" customHeight="1" x14ac:dyDescent="0.25">
      <c r="B34" s="513"/>
      <c r="C34" s="522" t="s">
        <v>1968</v>
      </c>
      <c r="D34" s="523" t="s">
        <v>1969</v>
      </c>
      <c r="E34" s="524" t="s">
        <v>1970</v>
      </c>
      <c r="F34" s="473" t="s">
        <v>1971</v>
      </c>
      <c r="G34" s="526">
        <v>268100</v>
      </c>
    </row>
    <row r="35" spans="2:7" ht="12" customHeight="1" x14ac:dyDescent="0.25">
      <c r="B35" s="545"/>
      <c r="C35" s="540" t="s">
        <v>1972</v>
      </c>
      <c r="D35" s="541" t="s">
        <v>1969</v>
      </c>
      <c r="E35" s="542" t="s">
        <v>1970</v>
      </c>
      <c r="F35" s="543" t="s">
        <v>1971</v>
      </c>
      <c r="G35" s="546">
        <v>12074574</v>
      </c>
    </row>
    <row r="36" spans="2:7" ht="12" customHeight="1" x14ac:dyDescent="0.25">
      <c r="B36" s="516" t="s">
        <v>695</v>
      </c>
      <c r="C36" s="517" t="s">
        <v>2008</v>
      </c>
      <c r="D36" s="518" t="s">
        <v>2008</v>
      </c>
      <c r="E36" s="519" t="s">
        <v>1967</v>
      </c>
      <c r="F36" s="520" t="s">
        <v>1965</v>
      </c>
      <c r="G36" s="547">
        <v>4330</v>
      </c>
    </row>
    <row r="37" spans="2:7" ht="12" customHeight="1" x14ac:dyDescent="0.25">
      <c r="B37" s="513"/>
      <c r="C37" s="522"/>
      <c r="D37" s="523"/>
      <c r="E37" s="524" t="s">
        <v>2009</v>
      </c>
      <c r="F37" s="473" t="s">
        <v>1965</v>
      </c>
      <c r="G37" s="526">
        <v>450</v>
      </c>
    </row>
    <row r="38" spans="2:7" ht="12" customHeight="1" x14ac:dyDescent="0.25">
      <c r="B38" s="545"/>
      <c r="C38" s="540" t="s">
        <v>1972</v>
      </c>
      <c r="D38" s="541" t="s">
        <v>1969</v>
      </c>
      <c r="E38" s="542" t="s">
        <v>1970</v>
      </c>
      <c r="F38" s="543" t="s">
        <v>1971</v>
      </c>
      <c r="G38" s="546">
        <v>98550</v>
      </c>
    </row>
    <row r="39" spans="2:7" ht="12" customHeight="1" x14ac:dyDescent="0.25">
      <c r="B39" s="513" t="s">
        <v>697</v>
      </c>
      <c r="C39" s="522" t="s">
        <v>2010</v>
      </c>
      <c r="D39" s="523" t="s">
        <v>2011</v>
      </c>
      <c r="E39" s="524" t="s">
        <v>2012</v>
      </c>
      <c r="F39" s="473" t="s">
        <v>1965</v>
      </c>
      <c r="G39" s="526">
        <v>200</v>
      </c>
    </row>
    <row r="40" spans="2:7" ht="12" customHeight="1" x14ac:dyDescent="0.25">
      <c r="B40" s="513"/>
      <c r="C40" s="522" t="s">
        <v>2013</v>
      </c>
      <c r="D40" s="523" t="s">
        <v>2014</v>
      </c>
      <c r="E40" s="524" t="s">
        <v>2015</v>
      </c>
      <c r="F40" s="473" t="s">
        <v>1971</v>
      </c>
      <c r="G40" s="526">
        <v>165020</v>
      </c>
    </row>
    <row r="41" spans="2:7" ht="12" customHeight="1" x14ac:dyDescent="0.25">
      <c r="B41" s="513"/>
      <c r="C41" s="522" t="s">
        <v>1976</v>
      </c>
      <c r="D41" s="523" t="s">
        <v>2016</v>
      </c>
      <c r="E41" s="524" t="s">
        <v>2017</v>
      </c>
      <c r="F41" s="473" t="s">
        <v>1971</v>
      </c>
      <c r="G41" s="526">
        <v>800</v>
      </c>
    </row>
    <row r="42" spans="2:7" ht="12" customHeight="1" x14ac:dyDescent="0.25">
      <c r="B42" s="513"/>
      <c r="C42" s="522"/>
      <c r="D42" s="523" t="s">
        <v>2018</v>
      </c>
      <c r="E42" s="524" t="s">
        <v>578</v>
      </c>
      <c r="F42" s="473" t="s">
        <v>1971</v>
      </c>
      <c r="G42" s="526">
        <v>39</v>
      </c>
    </row>
    <row r="43" spans="2:7" ht="12" customHeight="1" x14ac:dyDescent="0.25">
      <c r="B43" s="513"/>
      <c r="C43" s="522"/>
      <c r="D43" s="523" t="s">
        <v>2019</v>
      </c>
      <c r="E43" s="524" t="s">
        <v>2020</v>
      </c>
      <c r="F43" s="473" t="s">
        <v>1971</v>
      </c>
      <c r="G43" s="526">
        <v>100</v>
      </c>
    </row>
    <row r="44" spans="2:7" ht="12" customHeight="1" x14ac:dyDescent="0.25">
      <c r="B44" s="513"/>
      <c r="C44" s="522"/>
      <c r="D44" s="523" t="s">
        <v>2021</v>
      </c>
      <c r="E44" s="524" t="s">
        <v>2022</v>
      </c>
      <c r="F44" s="473" t="s">
        <v>1971</v>
      </c>
      <c r="G44" s="526">
        <v>1190</v>
      </c>
    </row>
    <row r="45" spans="2:7" ht="12" customHeight="1" x14ac:dyDescent="0.25">
      <c r="B45" s="513"/>
      <c r="C45" s="522"/>
      <c r="D45" s="523" t="s">
        <v>2023</v>
      </c>
      <c r="E45" s="524" t="s">
        <v>2024</v>
      </c>
      <c r="F45" s="473" t="s">
        <v>1971</v>
      </c>
      <c r="G45" s="526">
        <v>3800</v>
      </c>
    </row>
    <row r="46" spans="2:7" ht="12" customHeight="1" x14ac:dyDescent="0.25">
      <c r="B46" s="513"/>
      <c r="C46" s="522"/>
      <c r="D46" s="523"/>
      <c r="E46" s="524" t="s">
        <v>2025</v>
      </c>
      <c r="F46" s="473" t="s">
        <v>1971</v>
      </c>
      <c r="G46" s="526">
        <v>500</v>
      </c>
    </row>
    <row r="47" spans="2:7" ht="12" customHeight="1" x14ac:dyDescent="0.25">
      <c r="B47" s="508"/>
      <c r="C47" s="522"/>
      <c r="D47" s="523" t="s">
        <v>2026</v>
      </c>
      <c r="E47" s="524" t="s">
        <v>2027</v>
      </c>
      <c r="F47" s="473" t="s">
        <v>1971</v>
      </c>
      <c r="G47" s="526">
        <v>1050</v>
      </c>
    </row>
    <row r="48" spans="2:7" ht="12" customHeight="1" x14ac:dyDescent="0.25">
      <c r="B48" s="513"/>
      <c r="C48" s="522"/>
      <c r="D48" s="523" t="s">
        <v>2028</v>
      </c>
      <c r="E48" s="524" t="s">
        <v>2029</v>
      </c>
      <c r="F48" s="473" t="s">
        <v>1971</v>
      </c>
      <c r="G48" s="526">
        <v>350</v>
      </c>
    </row>
    <row r="49" spans="2:7" ht="12" customHeight="1" x14ac:dyDescent="0.25">
      <c r="B49" s="508"/>
      <c r="C49" s="522"/>
      <c r="D49" s="523" t="s">
        <v>2030</v>
      </c>
      <c r="E49" s="524" t="s">
        <v>2031</v>
      </c>
      <c r="F49" s="473" t="s">
        <v>1971</v>
      </c>
      <c r="G49" s="526">
        <v>830</v>
      </c>
    </row>
    <row r="50" spans="2:7" ht="12" customHeight="1" x14ac:dyDescent="0.25">
      <c r="B50" s="508"/>
      <c r="C50" s="522"/>
      <c r="D50" s="523" t="s">
        <v>1092</v>
      </c>
      <c r="E50" s="524" t="s">
        <v>1093</v>
      </c>
      <c r="F50" s="473" t="s">
        <v>1971</v>
      </c>
      <c r="G50" s="526">
        <v>103</v>
      </c>
    </row>
    <row r="51" spans="2:7" ht="12" customHeight="1" x14ac:dyDescent="0.25">
      <c r="B51" s="508"/>
      <c r="C51" s="522"/>
      <c r="D51" s="523" t="s">
        <v>2032</v>
      </c>
      <c r="E51" s="524" t="s">
        <v>2033</v>
      </c>
      <c r="F51" s="527" t="s">
        <v>1971</v>
      </c>
      <c r="G51" s="528">
        <v>5800</v>
      </c>
    </row>
    <row r="52" spans="2:7" ht="12" customHeight="1" x14ac:dyDescent="0.25">
      <c r="B52" s="513"/>
      <c r="C52" s="522"/>
      <c r="D52" s="523" t="s">
        <v>2034</v>
      </c>
      <c r="E52" s="524" t="s">
        <v>579</v>
      </c>
      <c r="F52" s="527" t="s">
        <v>1971</v>
      </c>
      <c r="G52" s="528">
        <v>5623</v>
      </c>
    </row>
    <row r="53" spans="2:7" ht="12" customHeight="1" x14ac:dyDescent="0.25">
      <c r="B53" s="513"/>
      <c r="C53" s="522"/>
      <c r="D53" s="523" t="s">
        <v>2035</v>
      </c>
      <c r="E53" s="524" t="s">
        <v>2036</v>
      </c>
      <c r="F53" s="527" t="s">
        <v>1971</v>
      </c>
      <c r="G53" s="528">
        <v>70</v>
      </c>
    </row>
    <row r="54" spans="2:7" ht="12" customHeight="1" x14ac:dyDescent="0.25">
      <c r="B54" s="508"/>
      <c r="C54" s="522"/>
      <c r="D54" s="523" t="s">
        <v>2037</v>
      </c>
      <c r="E54" s="524" t="s">
        <v>2038</v>
      </c>
      <c r="F54" s="527" t="s">
        <v>1971</v>
      </c>
      <c r="G54" s="528">
        <v>2200</v>
      </c>
    </row>
    <row r="55" spans="2:7" ht="12" customHeight="1" x14ac:dyDescent="0.25">
      <c r="B55" s="513"/>
      <c r="C55" s="522"/>
      <c r="D55" s="523" t="s">
        <v>2039</v>
      </c>
      <c r="E55" s="524" t="s">
        <v>2040</v>
      </c>
      <c r="F55" s="473" t="s">
        <v>1971</v>
      </c>
      <c r="G55" s="525">
        <v>1850</v>
      </c>
    </row>
    <row r="56" spans="2:7" ht="12" customHeight="1" x14ac:dyDescent="0.25">
      <c r="B56" s="513"/>
      <c r="C56" s="522"/>
      <c r="D56" s="523" t="s">
        <v>2041</v>
      </c>
      <c r="E56" s="524" t="s">
        <v>2042</v>
      </c>
      <c r="F56" s="473" t="s">
        <v>1971</v>
      </c>
      <c r="G56" s="525">
        <v>3758</v>
      </c>
    </row>
    <row r="57" spans="2:7" ht="12" customHeight="1" x14ac:dyDescent="0.25">
      <c r="B57" s="513"/>
      <c r="C57" s="522"/>
      <c r="D57" s="523" t="s">
        <v>2043</v>
      </c>
      <c r="E57" s="524" t="s">
        <v>2044</v>
      </c>
      <c r="F57" s="473" t="s">
        <v>1971</v>
      </c>
      <c r="G57" s="525">
        <v>140</v>
      </c>
    </row>
    <row r="58" spans="2:7" ht="12" customHeight="1" x14ac:dyDescent="0.25">
      <c r="B58" s="513"/>
      <c r="C58" s="522"/>
      <c r="D58" s="523" t="s">
        <v>2045</v>
      </c>
      <c r="E58" s="524" t="s">
        <v>2046</v>
      </c>
      <c r="F58" s="473" t="s">
        <v>1971</v>
      </c>
      <c r="G58" s="525">
        <v>100</v>
      </c>
    </row>
    <row r="59" spans="2:7" ht="12" customHeight="1" x14ac:dyDescent="0.25">
      <c r="B59" s="513"/>
      <c r="C59" s="522"/>
      <c r="D59" s="523" t="s">
        <v>2047</v>
      </c>
      <c r="E59" s="524" t="s">
        <v>2048</v>
      </c>
      <c r="F59" s="473" t="s">
        <v>1971</v>
      </c>
      <c r="G59" s="525">
        <v>50</v>
      </c>
    </row>
    <row r="60" spans="2:7" ht="12" customHeight="1" x14ac:dyDescent="0.25">
      <c r="B60" s="508"/>
      <c r="C60" s="522"/>
      <c r="D60" s="523" t="s">
        <v>2049</v>
      </c>
      <c r="E60" s="524" t="s">
        <v>2050</v>
      </c>
      <c r="F60" s="473" t="s">
        <v>1971</v>
      </c>
      <c r="G60" s="525">
        <v>2400</v>
      </c>
    </row>
    <row r="61" spans="2:7" ht="12" customHeight="1" x14ac:dyDescent="0.25">
      <c r="B61" s="508"/>
      <c r="C61" s="522"/>
      <c r="D61" s="523" t="s">
        <v>1936</v>
      </c>
      <c r="E61" s="524" t="s">
        <v>1995</v>
      </c>
      <c r="F61" s="473" t="s">
        <v>1971</v>
      </c>
      <c r="G61" s="525">
        <v>52</v>
      </c>
    </row>
    <row r="62" spans="2:7" ht="12" customHeight="1" x14ac:dyDescent="0.25">
      <c r="B62" s="513"/>
      <c r="C62" s="522"/>
      <c r="D62" s="523" t="s">
        <v>2051</v>
      </c>
      <c r="E62" s="524" t="s">
        <v>2052</v>
      </c>
      <c r="F62" s="473" t="s">
        <v>1971</v>
      </c>
      <c r="G62" s="525">
        <v>9542</v>
      </c>
    </row>
    <row r="63" spans="2:7" ht="12" customHeight="1" x14ac:dyDescent="0.25">
      <c r="B63" s="508"/>
      <c r="C63" s="522"/>
      <c r="D63" s="523" t="s">
        <v>2053</v>
      </c>
      <c r="E63" s="524" t="s">
        <v>2054</v>
      </c>
      <c r="F63" s="473" t="s">
        <v>1971</v>
      </c>
      <c r="G63" s="525">
        <v>1000</v>
      </c>
    </row>
    <row r="64" spans="2:7" ht="12" customHeight="1" x14ac:dyDescent="0.25">
      <c r="B64" s="508"/>
      <c r="C64" s="522"/>
      <c r="D64" s="523" t="s">
        <v>1940</v>
      </c>
      <c r="E64" s="524" t="s">
        <v>1941</v>
      </c>
      <c r="F64" s="473" t="s">
        <v>1971</v>
      </c>
      <c r="G64" s="525">
        <v>18</v>
      </c>
    </row>
    <row r="65" spans="2:7" ht="12" customHeight="1" x14ac:dyDescent="0.25">
      <c r="B65" s="513"/>
      <c r="C65" s="522"/>
      <c r="D65" s="523" t="s">
        <v>2055</v>
      </c>
      <c r="E65" s="524" t="s">
        <v>2056</v>
      </c>
      <c r="F65" s="473" t="s">
        <v>1971</v>
      </c>
      <c r="G65" s="525">
        <v>850</v>
      </c>
    </row>
    <row r="66" spans="2:7" ht="12" customHeight="1" x14ac:dyDescent="0.25">
      <c r="B66" s="508"/>
      <c r="C66" s="522"/>
      <c r="D66" s="523" t="s">
        <v>2057</v>
      </c>
      <c r="E66" s="524" t="s">
        <v>2058</v>
      </c>
      <c r="F66" s="473" t="s">
        <v>1971</v>
      </c>
      <c r="G66" s="525">
        <v>350</v>
      </c>
    </row>
    <row r="67" spans="2:7" ht="12" customHeight="1" x14ac:dyDescent="0.25">
      <c r="B67" s="513"/>
      <c r="C67" s="522"/>
      <c r="D67" s="523" t="s">
        <v>2059</v>
      </c>
      <c r="E67" s="524" t="s">
        <v>2060</v>
      </c>
      <c r="F67" s="473" t="s">
        <v>1971</v>
      </c>
      <c r="G67" s="525">
        <v>550</v>
      </c>
    </row>
    <row r="68" spans="2:7" ht="12" customHeight="1" x14ac:dyDescent="0.25">
      <c r="B68" s="513"/>
      <c r="C68" s="522"/>
      <c r="D68" s="523" t="s">
        <v>2061</v>
      </c>
      <c r="E68" s="524" t="s">
        <v>2062</v>
      </c>
      <c r="F68" s="473" t="s">
        <v>1971</v>
      </c>
      <c r="G68" s="525">
        <v>200</v>
      </c>
    </row>
    <row r="69" spans="2:7" ht="12" customHeight="1" x14ac:dyDescent="0.25">
      <c r="B69" s="513"/>
      <c r="C69" s="522"/>
      <c r="D69" s="523" t="s">
        <v>2063</v>
      </c>
      <c r="E69" s="524" t="s">
        <v>2064</v>
      </c>
      <c r="F69" s="473" t="s">
        <v>1971</v>
      </c>
      <c r="G69" s="525">
        <v>50</v>
      </c>
    </row>
    <row r="70" spans="2:7" ht="12" customHeight="1" x14ac:dyDescent="0.25">
      <c r="B70" s="513"/>
      <c r="C70" s="522"/>
      <c r="D70" s="523" t="s">
        <v>2001</v>
      </c>
      <c r="E70" s="524" t="s">
        <v>2002</v>
      </c>
      <c r="F70" s="473" t="s">
        <v>1971</v>
      </c>
      <c r="G70" s="525">
        <v>150</v>
      </c>
    </row>
    <row r="71" spans="2:7" ht="12" customHeight="1" x14ac:dyDescent="0.25">
      <c r="B71" s="513"/>
      <c r="C71" s="522"/>
      <c r="D71" s="523" t="s">
        <v>2065</v>
      </c>
      <c r="E71" s="524" t="s">
        <v>2066</v>
      </c>
      <c r="F71" s="473" t="s">
        <v>1971</v>
      </c>
      <c r="G71" s="525">
        <v>380</v>
      </c>
    </row>
    <row r="72" spans="2:7" ht="12" customHeight="1" x14ac:dyDescent="0.25">
      <c r="B72" s="513"/>
      <c r="C72" s="522"/>
      <c r="D72" s="523" t="s">
        <v>2005</v>
      </c>
      <c r="E72" s="524" t="s">
        <v>2067</v>
      </c>
      <c r="F72" s="473" t="s">
        <v>1971</v>
      </c>
      <c r="G72" s="529">
        <v>360</v>
      </c>
    </row>
    <row r="73" spans="2:7" ht="12" customHeight="1" x14ac:dyDescent="0.25">
      <c r="B73" s="513"/>
      <c r="C73" s="522"/>
      <c r="D73" s="523" t="s">
        <v>2068</v>
      </c>
      <c r="E73" s="524" t="s">
        <v>2069</v>
      </c>
      <c r="F73" s="473" t="s">
        <v>1971</v>
      </c>
      <c r="G73" s="526">
        <v>50</v>
      </c>
    </row>
    <row r="74" spans="2:7" ht="12" customHeight="1" x14ac:dyDescent="0.25">
      <c r="B74" s="513"/>
      <c r="C74" s="522" t="s">
        <v>1972</v>
      </c>
      <c r="D74" s="523" t="s">
        <v>1969</v>
      </c>
      <c r="E74" s="524" t="s">
        <v>1970</v>
      </c>
      <c r="F74" s="473" t="s">
        <v>1971</v>
      </c>
      <c r="G74" s="526">
        <v>1622142</v>
      </c>
    </row>
    <row r="75" spans="2:7" ht="12" customHeight="1" x14ac:dyDescent="0.25">
      <c r="B75" s="516" t="s">
        <v>698</v>
      </c>
      <c r="C75" s="517" t="s">
        <v>1976</v>
      </c>
      <c r="D75" s="518" t="s">
        <v>2070</v>
      </c>
      <c r="E75" s="519" t="s">
        <v>2071</v>
      </c>
      <c r="F75" s="520" t="s">
        <v>1971</v>
      </c>
      <c r="G75" s="521">
        <v>384</v>
      </c>
    </row>
    <row r="76" spans="2:7" ht="12" customHeight="1" x14ac:dyDescent="0.25">
      <c r="B76" s="513"/>
      <c r="C76" s="522" t="s">
        <v>1968</v>
      </c>
      <c r="D76" s="523" t="s">
        <v>1969</v>
      </c>
      <c r="E76" s="504" t="s">
        <v>1970</v>
      </c>
      <c r="F76" s="473" t="s">
        <v>1971</v>
      </c>
      <c r="G76" s="525">
        <v>794905</v>
      </c>
    </row>
    <row r="77" spans="2:7" ht="12" customHeight="1" x14ac:dyDescent="0.25">
      <c r="B77" s="545"/>
      <c r="C77" s="540" t="s">
        <v>1972</v>
      </c>
      <c r="D77" s="541" t="s">
        <v>1969</v>
      </c>
      <c r="E77" s="542" t="s">
        <v>1970</v>
      </c>
      <c r="F77" s="543" t="s">
        <v>1971</v>
      </c>
      <c r="G77" s="544">
        <v>1241257.7850000001</v>
      </c>
    </row>
    <row r="78" spans="2:7" ht="12" customHeight="1" x14ac:dyDescent="0.25">
      <c r="B78" s="516" t="s">
        <v>699</v>
      </c>
      <c r="C78" s="517" t="s">
        <v>2010</v>
      </c>
      <c r="D78" s="518" t="s">
        <v>2011</v>
      </c>
      <c r="E78" s="519" t="s">
        <v>2072</v>
      </c>
      <c r="F78" s="520" t="s">
        <v>1965</v>
      </c>
      <c r="G78" s="521">
        <v>13650</v>
      </c>
    </row>
    <row r="79" spans="2:7" ht="12" customHeight="1" x14ac:dyDescent="0.25">
      <c r="B79" s="513"/>
      <c r="C79" s="522"/>
      <c r="D79" s="523"/>
      <c r="E79" s="524" t="s">
        <v>2073</v>
      </c>
      <c r="F79" s="473" t="s">
        <v>1965</v>
      </c>
      <c r="G79" s="525">
        <v>244404</v>
      </c>
    </row>
    <row r="80" spans="2:7" ht="12" customHeight="1" x14ac:dyDescent="0.25">
      <c r="B80" s="513"/>
      <c r="C80" s="522" t="s">
        <v>2013</v>
      </c>
      <c r="D80" s="523" t="s">
        <v>2013</v>
      </c>
      <c r="E80" s="524" t="s">
        <v>2015</v>
      </c>
      <c r="F80" s="473" t="s">
        <v>1971</v>
      </c>
      <c r="G80" s="525">
        <v>119407.5</v>
      </c>
    </row>
    <row r="81" spans="2:7" ht="12" customHeight="1" x14ac:dyDescent="0.25">
      <c r="B81" s="513"/>
      <c r="C81" s="522"/>
      <c r="D81" s="523" t="s">
        <v>2014</v>
      </c>
      <c r="E81" s="524" t="s">
        <v>2015</v>
      </c>
      <c r="F81" s="473" t="s">
        <v>1971</v>
      </c>
      <c r="G81" s="525">
        <v>103520</v>
      </c>
    </row>
    <row r="82" spans="2:7" ht="12" customHeight="1" x14ac:dyDescent="0.25">
      <c r="B82" s="513"/>
      <c r="C82" s="522" t="s">
        <v>1976</v>
      </c>
      <c r="D82" s="523" t="s">
        <v>989</v>
      </c>
      <c r="E82" s="524" t="s">
        <v>2074</v>
      </c>
      <c r="F82" s="473" t="s">
        <v>1971</v>
      </c>
      <c r="G82" s="530">
        <v>10928.800000000001</v>
      </c>
    </row>
    <row r="83" spans="2:7" ht="12" customHeight="1" x14ac:dyDescent="0.25">
      <c r="B83" s="513"/>
      <c r="C83" s="522"/>
      <c r="D83" s="523"/>
      <c r="E83" s="524" t="s">
        <v>2075</v>
      </c>
      <c r="F83" s="473" t="s">
        <v>1971</v>
      </c>
      <c r="G83" s="525">
        <v>23309.45</v>
      </c>
    </row>
    <row r="84" spans="2:7" ht="12" customHeight="1" x14ac:dyDescent="0.25">
      <c r="B84" s="545"/>
      <c r="C84" s="540" t="s">
        <v>2076</v>
      </c>
      <c r="D84" s="541" t="s">
        <v>2076</v>
      </c>
      <c r="E84" s="542" t="s">
        <v>2077</v>
      </c>
      <c r="F84" s="543" t="s">
        <v>1971</v>
      </c>
      <c r="G84" s="544">
        <v>68</v>
      </c>
    </row>
    <row r="85" spans="2:7" ht="12" customHeight="1" x14ac:dyDescent="0.25">
      <c r="B85" s="516" t="s">
        <v>700</v>
      </c>
      <c r="C85" s="517" t="s">
        <v>1975</v>
      </c>
      <c r="D85" s="518" t="s">
        <v>2078</v>
      </c>
      <c r="E85" s="519" t="s">
        <v>2079</v>
      </c>
      <c r="F85" s="520" t="s">
        <v>1971</v>
      </c>
      <c r="G85" s="521">
        <v>500</v>
      </c>
    </row>
    <row r="86" spans="2:7" ht="12" customHeight="1" x14ac:dyDescent="0.25">
      <c r="B86" s="513"/>
      <c r="C86" s="522"/>
      <c r="D86" s="523" t="s">
        <v>2080</v>
      </c>
      <c r="E86" s="524" t="s">
        <v>2081</v>
      </c>
      <c r="F86" s="473" t="s">
        <v>1965</v>
      </c>
      <c r="G86" s="525">
        <v>2100</v>
      </c>
    </row>
    <row r="87" spans="2:7" ht="12" customHeight="1" x14ac:dyDescent="0.25">
      <c r="B87" s="513"/>
      <c r="C87" s="522" t="s">
        <v>2080</v>
      </c>
      <c r="D87" s="523" t="s">
        <v>2080</v>
      </c>
      <c r="E87" s="524" t="s">
        <v>2081</v>
      </c>
      <c r="F87" s="473" t="s">
        <v>1965</v>
      </c>
      <c r="G87" s="525">
        <v>300</v>
      </c>
    </row>
    <row r="88" spans="2:7" ht="12" customHeight="1" x14ac:dyDescent="0.25">
      <c r="B88" s="513"/>
      <c r="C88" s="522" t="s">
        <v>2007</v>
      </c>
      <c r="D88" s="523" t="s">
        <v>1969</v>
      </c>
      <c r="E88" s="524" t="s">
        <v>1970</v>
      </c>
      <c r="F88" s="473" t="s">
        <v>1971</v>
      </c>
      <c r="G88" s="525">
        <v>180000</v>
      </c>
    </row>
    <row r="89" spans="2:7" ht="12" customHeight="1" x14ac:dyDescent="0.25">
      <c r="B89" s="513"/>
      <c r="C89" s="522" t="s">
        <v>1968</v>
      </c>
      <c r="D89" s="523" t="s">
        <v>1969</v>
      </c>
      <c r="E89" s="524" t="s">
        <v>1970</v>
      </c>
      <c r="F89" s="473" t="s">
        <v>1971</v>
      </c>
      <c r="G89" s="525">
        <v>330000</v>
      </c>
    </row>
    <row r="90" spans="2:7" ht="12" customHeight="1" x14ac:dyDescent="0.25">
      <c r="B90" s="549"/>
      <c r="C90" s="540" t="s">
        <v>1972</v>
      </c>
      <c r="D90" s="541" t="s">
        <v>1969</v>
      </c>
      <c r="E90" s="542" t="s">
        <v>1970</v>
      </c>
      <c r="F90" s="543" t="s">
        <v>1971</v>
      </c>
      <c r="G90" s="544">
        <v>1868256</v>
      </c>
    </row>
    <row r="91" spans="2:7" ht="12" customHeight="1" x14ac:dyDescent="0.25">
      <c r="B91" s="513" t="s">
        <v>701</v>
      </c>
      <c r="C91" s="522" t="s">
        <v>1972</v>
      </c>
      <c r="D91" s="523" t="s">
        <v>1969</v>
      </c>
      <c r="E91" s="524" t="s">
        <v>1970</v>
      </c>
      <c r="F91" s="473" t="s">
        <v>1971</v>
      </c>
      <c r="G91" s="525">
        <v>30290</v>
      </c>
    </row>
    <row r="92" spans="2:7" ht="12" customHeight="1" x14ac:dyDescent="0.25">
      <c r="B92" s="516" t="s">
        <v>703</v>
      </c>
      <c r="C92" s="517" t="s">
        <v>2082</v>
      </c>
      <c r="D92" s="518" t="s">
        <v>2083</v>
      </c>
      <c r="E92" s="519" t="s">
        <v>2084</v>
      </c>
      <c r="F92" s="520" t="s">
        <v>1971</v>
      </c>
      <c r="G92" s="521">
        <v>82.6</v>
      </c>
    </row>
    <row r="93" spans="2:7" ht="12" customHeight="1" x14ac:dyDescent="0.25">
      <c r="B93" s="513"/>
      <c r="C93" s="522" t="s">
        <v>1981</v>
      </c>
      <c r="D93" s="523" t="s">
        <v>2085</v>
      </c>
      <c r="E93" s="524" t="s">
        <v>2086</v>
      </c>
      <c r="F93" s="473" t="s">
        <v>1971</v>
      </c>
      <c r="G93" s="525">
        <v>5360</v>
      </c>
    </row>
    <row r="94" spans="2:7" ht="12" customHeight="1" x14ac:dyDescent="0.25">
      <c r="B94" s="513"/>
      <c r="C94" s="522" t="s">
        <v>2087</v>
      </c>
      <c r="D94" s="523" t="s">
        <v>2088</v>
      </c>
      <c r="E94" s="524" t="s">
        <v>2089</v>
      </c>
      <c r="F94" s="473" t="s">
        <v>1971</v>
      </c>
      <c r="G94" s="525">
        <v>12770.3</v>
      </c>
    </row>
    <row r="95" spans="2:7" ht="12" customHeight="1" x14ac:dyDescent="0.25">
      <c r="B95" s="513"/>
      <c r="C95" s="522" t="s">
        <v>2090</v>
      </c>
      <c r="D95" s="523" t="s">
        <v>1034</v>
      </c>
      <c r="E95" s="524" t="s">
        <v>1038</v>
      </c>
      <c r="F95" s="473" t="s">
        <v>280</v>
      </c>
      <c r="G95" s="525">
        <v>20</v>
      </c>
    </row>
    <row r="96" spans="2:7" ht="12" customHeight="1" x14ac:dyDescent="0.25">
      <c r="B96" s="513"/>
      <c r="C96" s="522"/>
      <c r="D96" s="523" t="s">
        <v>1332</v>
      </c>
      <c r="E96" s="524" t="s">
        <v>1258</v>
      </c>
      <c r="F96" s="473" t="s">
        <v>280</v>
      </c>
      <c r="G96" s="525">
        <v>1000</v>
      </c>
    </row>
    <row r="97" spans="2:7" ht="12" customHeight="1" x14ac:dyDescent="0.25">
      <c r="B97" s="513"/>
      <c r="C97" s="522"/>
      <c r="D97" s="523" t="s">
        <v>1553</v>
      </c>
      <c r="E97" s="524" t="s">
        <v>1554</v>
      </c>
      <c r="F97" s="473" t="s">
        <v>280</v>
      </c>
      <c r="G97" s="525">
        <v>50194</v>
      </c>
    </row>
    <row r="98" spans="2:7" ht="12" customHeight="1" x14ac:dyDescent="0.25">
      <c r="B98" s="513"/>
      <c r="C98" s="522" t="s">
        <v>1976</v>
      </c>
      <c r="D98" s="523" t="s">
        <v>2091</v>
      </c>
      <c r="E98" s="524" t="s">
        <v>2092</v>
      </c>
      <c r="F98" s="473" t="s">
        <v>1971</v>
      </c>
      <c r="G98" s="525">
        <v>29</v>
      </c>
    </row>
    <row r="99" spans="2:7" ht="12" customHeight="1" x14ac:dyDescent="0.25">
      <c r="B99" s="508"/>
      <c r="C99" s="522"/>
      <c r="D99" s="523" t="s">
        <v>2093</v>
      </c>
      <c r="E99" s="524" t="s">
        <v>2094</v>
      </c>
      <c r="F99" s="473" t="s">
        <v>1971</v>
      </c>
      <c r="G99" s="525">
        <v>1</v>
      </c>
    </row>
    <row r="100" spans="2:7" ht="12" customHeight="1" x14ac:dyDescent="0.25">
      <c r="B100" s="508"/>
      <c r="C100" s="522"/>
      <c r="D100" s="523" t="s">
        <v>2095</v>
      </c>
      <c r="E100" s="524" t="s">
        <v>2096</v>
      </c>
      <c r="F100" s="473" t="s">
        <v>1971</v>
      </c>
      <c r="G100" s="525">
        <v>844.5</v>
      </c>
    </row>
    <row r="101" spans="2:7" ht="12" customHeight="1" x14ac:dyDescent="0.25">
      <c r="B101" s="513"/>
      <c r="C101" s="522"/>
      <c r="D101" s="523" t="s">
        <v>834</v>
      </c>
      <c r="E101" s="524" t="s">
        <v>835</v>
      </c>
      <c r="F101" s="473" t="s">
        <v>1971</v>
      </c>
      <c r="G101" s="525">
        <v>6</v>
      </c>
    </row>
    <row r="102" spans="2:7" ht="12" customHeight="1" x14ac:dyDescent="0.25">
      <c r="B102" s="513"/>
      <c r="C102" s="522"/>
      <c r="D102" s="523" t="s">
        <v>851</v>
      </c>
      <c r="E102" s="524" t="s">
        <v>852</v>
      </c>
      <c r="F102" s="473" t="s">
        <v>1971</v>
      </c>
      <c r="G102" s="525">
        <v>80</v>
      </c>
    </row>
    <row r="103" spans="2:7" ht="12" customHeight="1" x14ac:dyDescent="0.25">
      <c r="B103" s="513"/>
      <c r="C103" s="522"/>
      <c r="D103" s="523" t="s">
        <v>2097</v>
      </c>
      <c r="E103" s="524" t="s">
        <v>2098</v>
      </c>
      <c r="F103" s="473" t="s">
        <v>1971</v>
      </c>
      <c r="G103" s="525">
        <v>12</v>
      </c>
    </row>
    <row r="104" spans="2:7" ht="12" customHeight="1" x14ac:dyDescent="0.25">
      <c r="B104" s="513"/>
      <c r="C104" s="522"/>
      <c r="D104" s="523" t="s">
        <v>857</v>
      </c>
      <c r="E104" s="524" t="s">
        <v>855</v>
      </c>
      <c r="F104" s="473" t="s">
        <v>1971</v>
      </c>
      <c r="G104" s="525">
        <v>100</v>
      </c>
    </row>
    <row r="105" spans="2:7" ht="12" customHeight="1" x14ac:dyDescent="0.25">
      <c r="B105" s="513"/>
      <c r="C105" s="522"/>
      <c r="D105" s="523" t="s">
        <v>2019</v>
      </c>
      <c r="E105" s="524" t="s">
        <v>2099</v>
      </c>
      <c r="F105" s="473" t="s">
        <v>1971</v>
      </c>
      <c r="G105" s="525">
        <v>60</v>
      </c>
    </row>
    <row r="106" spans="2:7" ht="12" customHeight="1" x14ac:dyDescent="0.25">
      <c r="B106" s="513"/>
      <c r="C106" s="522"/>
      <c r="D106" s="523" t="s">
        <v>913</v>
      </c>
      <c r="E106" s="524" t="s">
        <v>915</v>
      </c>
      <c r="F106" s="473" t="s">
        <v>1971</v>
      </c>
      <c r="G106" s="525">
        <v>90</v>
      </c>
    </row>
    <row r="107" spans="2:7" ht="12" customHeight="1" x14ac:dyDescent="0.25">
      <c r="B107" s="513"/>
      <c r="C107" s="522"/>
      <c r="D107" s="523" t="s">
        <v>978</v>
      </c>
      <c r="E107" s="524" t="s">
        <v>2100</v>
      </c>
      <c r="F107" s="473" t="s">
        <v>1971</v>
      </c>
      <c r="G107" s="525">
        <v>80</v>
      </c>
    </row>
    <row r="108" spans="2:7" ht="12" customHeight="1" x14ac:dyDescent="0.25">
      <c r="B108" s="513"/>
      <c r="C108" s="522"/>
      <c r="D108" s="523" t="s">
        <v>2101</v>
      </c>
      <c r="E108" s="524" t="s">
        <v>2102</v>
      </c>
      <c r="F108" s="473" t="s">
        <v>1971</v>
      </c>
      <c r="G108" s="525">
        <v>179</v>
      </c>
    </row>
    <row r="109" spans="2:7" ht="12" customHeight="1" x14ac:dyDescent="0.25">
      <c r="B109" s="513"/>
      <c r="C109" s="522"/>
      <c r="D109" s="523" t="s">
        <v>2083</v>
      </c>
      <c r="E109" s="524" t="s">
        <v>2084</v>
      </c>
      <c r="F109" s="473" t="s">
        <v>1971</v>
      </c>
      <c r="G109" s="525">
        <v>27.6</v>
      </c>
    </row>
    <row r="110" spans="2:7" ht="12" customHeight="1" x14ac:dyDescent="0.25">
      <c r="B110" s="513"/>
      <c r="C110" s="522"/>
      <c r="D110" s="523" t="s">
        <v>2103</v>
      </c>
      <c r="E110" s="524" t="s">
        <v>2092</v>
      </c>
      <c r="F110" s="473" t="s">
        <v>1971</v>
      </c>
      <c r="G110" s="525">
        <v>5</v>
      </c>
    </row>
    <row r="111" spans="2:7" ht="12" customHeight="1" x14ac:dyDescent="0.25">
      <c r="B111" s="513"/>
      <c r="C111" s="522"/>
      <c r="D111" s="523"/>
      <c r="E111" s="524" t="s">
        <v>2104</v>
      </c>
      <c r="F111" s="473" t="s">
        <v>1971</v>
      </c>
      <c r="G111" s="525">
        <v>150</v>
      </c>
    </row>
    <row r="112" spans="2:7" ht="12" customHeight="1" x14ac:dyDescent="0.25">
      <c r="B112" s="513"/>
      <c r="C112" s="522"/>
      <c r="D112" s="523" t="s">
        <v>2105</v>
      </c>
      <c r="E112" s="524" t="s">
        <v>2106</v>
      </c>
      <c r="F112" s="473" t="s">
        <v>1971</v>
      </c>
      <c r="G112" s="525">
        <v>13</v>
      </c>
    </row>
    <row r="113" spans="2:7" ht="12" customHeight="1" x14ac:dyDescent="0.25">
      <c r="B113" s="513"/>
      <c r="C113" s="522"/>
      <c r="D113" s="523" t="s">
        <v>2107</v>
      </c>
      <c r="E113" s="524" t="s">
        <v>2108</v>
      </c>
      <c r="F113" s="473" t="s">
        <v>1971</v>
      </c>
      <c r="G113" s="525">
        <v>10</v>
      </c>
    </row>
    <row r="114" spans="2:7" ht="12" customHeight="1" x14ac:dyDescent="0.25">
      <c r="B114" s="513"/>
      <c r="C114" s="522"/>
      <c r="D114" s="523" t="s">
        <v>1076</v>
      </c>
      <c r="E114" s="524" t="s">
        <v>788</v>
      </c>
      <c r="F114" s="473" t="s">
        <v>1971</v>
      </c>
      <c r="G114" s="525">
        <v>50</v>
      </c>
    </row>
    <row r="115" spans="2:7" ht="12" customHeight="1" x14ac:dyDescent="0.25">
      <c r="B115" s="513"/>
      <c r="C115" s="522"/>
      <c r="D115" s="523" t="s">
        <v>2109</v>
      </c>
      <c r="E115" s="524" t="s">
        <v>2110</v>
      </c>
      <c r="F115" s="473" t="s">
        <v>1971</v>
      </c>
      <c r="G115" s="525">
        <v>60</v>
      </c>
    </row>
    <row r="116" spans="2:7" ht="12" customHeight="1" x14ac:dyDescent="0.25">
      <c r="B116" s="513"/>
      <c r="C116" s="522"/>
      <c r="D116" s="523" t="s">
        <v>1127</v>
      </c>
      <c r="E116" s="524" t="s">
        <v>2111</v>
      </c>
      <c r="F116" s="473" t="s">
        <v>1971</v>
      </c>
      <c r="G116" s="525">
        <v>80</v>
      </c>
    </row>
    <row r="117" spans="2:7" ht="12" customHeight="1" x14ac:dyDescent="0.25">
      <c r="B117" s="513"/>
      <c r="C117" s="522"/>
      <c r="D117" s="523" t="s">
        <v>2112</v>
      </c>
      <c r="E117" s="524" t="s">
        <v>2113</v>
      </c>
      <c r="F117" s="473" t="s">
        <v>1971</v>
      </c>
      <c r="G117" s="525">
        <v>163.5</v>
      </c>
    </row>
    <row r="118" spans="2:7" ht="12" customHeight="1" x14ac:dyDescent="0.25">
      <c r="B118" s="513"/>
      <c r="C118" s="522"/>
      <c r="D118" s="523" t="s">
        <v>2114</v>
      </c>
      <c r="E118" s="524" t="s">
        <v>2115</v>
      </c>
      <c r="F118" s="473" t="s">
        <v>1971</v>
      </c>
      <c r="G118" s="525">
        <v>80</v>
      </c>
    </row>
    <row r="119" spans="2:7" ht="12" customHeight="1" x14ac:dyDescent="0.25">
      <c r="B119" s="513"/>
      <c r="C119" s="522"/>
      <c r="D119" s="523" t="s">
        <v>2116</v>
      </c>
      <c r="E119" s="524" t="s">
        <v>2117</v>
      </c>
      <c r="F119" s="473" t="s">
        <v>1971</v>
      </c>
      <c r="G119" s="525">
        <v>80</v>
      </c>
    </row>
    <row r="120" spans="2:7" ht="12" customHeight="1" x14ac:dyDescent="0.25">
      <c r="B120" s="513"/>
      <c r="C120" s="522"/>
      <c r="D120" s="523" t="s">
        <v>1241</v>
      </c>
      <c r="E120" s="524" t="s">
        <v>1242</v>
      </c>
      <c r="F120" s="473" t="s">
        <v>1971</v>
      </c>
      <c r="G120" s="525">
        <v>40</v>
      </c>
    </row>
    <row r="121" spans="2:7" ht="12" customHeight="1" x14ac:dyDescent="0.25">
      <c r="B121" s="513"/>
      <c r="C121" s="522"/>
      <c r="D121" s="523" t="s">
        <v>2118</v>
      </c>
      <c r="E121" s="524" t="s">
        <v>2119</v>
      </c>
      <c r="F121" s="473" t="s">
        <v>1971</v>
      </c>
      <c r="G121" s="525">
        <v>80</v>
      </c>
    </row>
    <row r="122" spans="2:7" ht="12" customHeight="1" x14ac:dyDescent="0.25">
      <c r="B122" s="513"/>
      <c r="C122" s="472"/>
      <c r="D122" s="523" t="s">
        <v>2120</v>
      </c>
      <c r="E122" s="524" t="s">
        <v>2121</v>
      </c>
      <c r="F122" s="473" t="s">
        <v>1971</v>
      </c>
      <c r="G122" s="525">
        <v>40</v>
      </c>
    </row>
    <row r="123" spans="2:7" ht="12" customHeight="1" x14ac:dyDescent="0.25">
      <c r="B123" s="513"/>
      <c r="C123" s="522"/>
      <c r="D123" s="523" t="s">
        <v>2122</v>
      </c>
      <c r="E123" s="524" t="s">
        <v>2123</v>
      </c>
      <c r="F123" s="473" t="s">
        <v>1971</v>
      </c>
      <c r="G123" s="525">
        <v>33</v>
      </c>
    </row>
    <row r="124" spans="2:7" ht="12" customHeight="1" x14ac:dyDescent="0.25">
      <c r="B124" s="513"/>
      <c r="C124" s="522"/>
      <c r="D124" s="523" t="s">
        <v>2124</v>
      </c>
      <c r="E124" s="524" t="s">
        <v>2125</v>
      </c>
      <c r="F124" s="473" t="s">
        <v>1971</v>
      </c>
      <c r="G124" s="525">
        <v>110</v>
      </c>
    </row>
    <row r="125" spans="2:7" ht="12" customHeight="1" x14ac:dyDescent="0.25">
      <c r="B125" s="513"/>
      <c r="C125" s="522"/>
      <c r="D125" s="523" t="s">
        <v>1861</v>
      </c>
      <c r="E125" s="524" t="s">
        <v>2126</v>
      </c>
      <c r="F125" s="473" t="s">
        <v>1971</v>
      </c>
      <c r="G125" s="525">
        <v>1</v>
      </c>
    </row>
    <row r="126" spans="2:7" ht="12" customHeight="1" x14ac:dyDescent="0.25">
      <c r="B126" s="513"/>
      <c r="C126" s="522"/>
      <c r="D126" s="523" t="s">
        <v>2127</v>
      </c>
      <c r="E126" s="524" t="s">
        <v>2128</v>
      </c>
      <c r="F126" s="473" t="s">
        <v>1971</v>
      </c>
      <c r="G126" s="525">
        <v>80</v>
      </c>
    </row>
    <row r="127" spans="2:7" ht="12" customHeight="1" x14ac:dyDescent="0.25">
      <c r="B127" s="513"/>
      <c r="C127" s="522"/>
      <c r="D127" s="523" t="s">
        <v>2129</v>
      </c>
      <c r="E127" s="524" t="s">
        <v>2130</v>
      </c>
      <c r="F127" s="473" t="s">
        <v>1971</v>
      </c>
      <c r="G127" s="525">
        <v>100</v>
      </c>
    </row>
    <row r="128" spans="2:7" ht="12" customHeight="1" x14ac:dyDescent="0.25">
      <c r="B128" s="513"/>
      <c r="C128" s="472"/>
      <c r="D128" s="523" t="s">
        <v>2131</v>
      </c>
      <c r="E128" s="531" t="s">
        <v>2132</v>
      </c>
      <c r="F128" s="532" t="s">
        <v>1971</v>
      </c>
      <c r="G128" s="533">
        <v>70</v>
      </c>
    </row>
    <row r="129" spans="2:7" ht="12" customHeight="1" x14ac:dyDescent="0.25">
      <c r="B129" s="513"/>
      <c r="C129" s="522"/>
      <c r="D129" s="523" t="s">
        <v>2133</v>
      </c>
      <c r="E129" s="524" t="s">
        <v>2134</v>
      </c>
      <c r="F129" s="473" t="s">
        <v>1971</v>
      </c>
      <c r="G129" s="525">
        <v>70</v>
      </c>
    </row>
    <row r="130" spans="2:7" ht="12" customHeight="1" x14ac:dyDescent="0.25">
      <c r="B130" s="513"/>
      <c r="C130" s="522"/>
      <c r="D130" s="523" t="s">
        <v>2135</v>
      </c>
      <c r="E130" s="524" t="s">
        <v>2136</v>
      </c>
      <c r="F130" s="473" t="s">
        <v>1971</v>
      </c>
      <c r="G130" s="525">
        <v>100</v>
      </c>
    </row>
    <row r="131" spans="2:7" ht="12" customHeight="1" x14ac:dyDescent="0.25">
      <c r="B131" s="513"/>
      <c r="C131" s="522"/>
      <c r="D131" s="523" t="s">
        <v>2137</v>
      </c>
      <c r="E131" s="524" t="s">
        <v>2138</v>
      </c>
      <c r="F131" s="473" t="s">
        <v>1971</v>
      </c>
      <c r="G131" s="525">
        <v>1</v>
      </c>
    </row>
    <row r="132" spans="2:7" ht="12" customHeight="1" x14ac:dyDescent="0.25">
      <c r="B132" s="513"/>
      <c r="C132" s="522"/>
      <c r="D132" s="523" t="s">
        <v>2139</v>
      </c>
      <c r="E132" s="524" t="s">
        <v>1591</v>
      </c>
      <c r="F132" s="473" t="s">
        <v>1971</v>
      </c>
      <c r="G132" s="525">
        <v>1</v>
      </c>
    </row>
    <row r="133" spans="2:7" ht="12" customHeight="1" x14ac:dyDescent="0.25">
      <c r="B133" s="513"/>
      <c r="C133" s="522"/>
      <c r="D133" s="523"/>
      <c r="E133" s="524" t="s">
        <v>1897</v>
      </c>
      <c r="F133" s="473" t="s">
        <v>1971</v>
      </c>
      <c r="G133" s="525">
        <v>1</v>
      </c>
    </row>
    <row r="134" spans="2:7" ht="12" customHeight="1" x14ac:dyDescent="0.25">
      <c r="B134" s="513"/>
      <c r="C134" s="522"/>
      <c r="D134" s="523" t="s">
        <v>2140</v>
      </c>
      <c r="E134" s="524" t="s">
        <v>2141</v>
      </c>
      <c r="F134" s="473" t="s">
        <v>1971</v>
      </c>
      <c r="G134" s="525">
        <v>80</v>
      </c>
    </row>
    <row r="135" spans="2:7" ht="12" customHeight="1" x14ac:dyDescent="0.25">
      <c r="B135" s="508"/>
      <c r="C135" s="522"/>
      <c r="D135" s="523" t="s">
        <v>1613</v>
      </c>
      <c r="E135" s="524" t="s">
        <v>1019</v>
      </c>
      <c r="F135" s="473" t="s">
        <v>1971</v>
      </c>
      <c r="G135" s="525">
        <v>16</v>
      </c>
    </row>
    <row r="136" spans="2:7" ht="12" customHeight="1" x14ac:dyDescent="0.25">
      <c r="B136" s="513"/>
      <c r="C136" s="522"/>
      <c r="D136" s="523" t="s">
        <v>2142</v>
      </c>
      <c r="E136" s="524" t="s">
        <v>2143</v>
      </c>
      <c r="F136" s="473" t="s">
        <v>1971</v>
      </c>
      <c r="G136" s="526">
        <v>14</v>
      </c>
    </row>
    <row r="137" spans="2:7" ht="12" customHeight="1" x14ac:dyDescent="0.25">
      <c r="B137" s="513"/>
      <c r="C137" s="522" t="s">
        <v>2144</v>
      </c>
      <c r="D137" s="523" t="s">
        <v>1034</v>
      </c>
      <c r="E137" s="524" t="s">
        <v>2145</v>
      </c>
      <c r="F137" s="473" t="s">
        <v>1971</v>
      </c>
      <c r="G137" s="525">
        <v>1065</v>
      </c>
    </row>
    <row r="138" spans="2:7" ht="12" customHeight="1" x14ac:dyDescent="0.25">
      <c r="B138" s="513"/>
      <c r="C138" s="522"/>
      <c r="D138" s="523"/>
      <c r="E138" s="524" t="s">
        <v>861</v>
      </c>
      <c r="F138" s="473" t="s">
        <v>280</v>
      </c>
      <c r="G138" s="525">
        <v>120</v>
      </c>
    </row>
    <row r="139" spans="2:7" ht="12" customHeight="1" x14ac:dyDescent="0.25">
      <c r="B139" s="513"/>
      <c r="C139" s="522" t="s">
        <v>1994</v>
      </c>
      <c r="D139" s="523" t="s">
        <v>2146</v>
      </c>
      <c r="E139" s="524" t="s">
        <v>2147</v>
      </c>
      <c r="F139" s="473" t="s">
        <v>1971</v>
      </c>
      <c r="G139" s="525">
        <v>252</v>
      </c>
    </row>
    <row r="140" spans="2:7" ht="12" customHeight="1" x14ac:dyDescent="0.25">
      <c r="B140" s="513"/>
      <c r="C140" s="522"/>
      <c r="D140" s="523" t="s">
        <v>2148</v>
      </c>
      <c r="E140" s="524" t="s">
        <v>2102</v>
      </c>
      <c r="F140" s="473" t="s">
        <v>1971</v>
      </c>
      <c r="G140" s="525">
        <v>60</v>
      </c>
    </row>
    <row r="141" spans="2:7" ht="12" customHeight="1" x14ac:dyDescent="0.25">
      <c r="B141" s="545"/>
      <c r="C141" s="540" t="s">
        <v>2076</v>
      </c>
      <c r="D141" s="541" t="s">
        <v>2076</v>
      </c>
      <c r="E141" s="542" t="s">
        <v>2077</v>
      </c>
      <c r="F141" s="543" t="s">
        <v>1971</v>
      </c>
      <c r="G141" s="546">
        <v>2</v>
      </c>
    </row>
    <row r="142" spans="2:7" ht="12" customHeight="1" x14ac:dyDescent="0.25">
      <c r="B142" s="550" t="s">
        <v>704</v>
      </c>
      <c r="C142" s="551" t="s">
        <v>2149</v>
      </c>
      <c r="D142" s="551" t="s">
        <v>1697</v>
      </c>
      <c r="E142" s="519" t="s">
        <v>2150</v>
      </c>
      <c r="F142" s="520" t="s">
        <v>1971</v>
      </c>
      <c r="G142" s="521">
        <v>13016622.649999999</v>
      </c>
    </row>
    <row r="143" spans="2:7" ht="12" customHeight="1" x14ac:dyDescent="0.25">
      <c r="B143" s="534"/>
      <c r="C143" s="472" t="s">
        <v>2151</v>
      </c>
      <c r="D143" s="472" t="s">
        <v>1697</v>
      </c>
      <c r="E143" s="524" t="s">
        <v>2150</v>
      </c>
      <c r="F143" s="473" t="s">
        <v>1971</v>
      </c>
      <c r="G143" s="525">
        <v>4361750.5500000007</v>
      </c>
    </row>
    <row r="144" spans="2:7" ht="12" customHeight="1" x14ac:dyDescent="0.25">
      <c r="B144" s="535"/>
      <c r="C144" s="522" t="s">
        <v>1981</v>
      </c>
      <c r="D144" s="523" t="s">
        <v>2085</v>
      </c>
      <c r="E144" s="524" t="s">
        <v>2086</v>
      </c>
      <c r="F144" s="473" t="s">
        <v>1971</v>
      </c>
      <c r="G144" s="525">
        <v>5180</v>
      </c>
    </row>
    <row r="145" spans="2:7" ht="12" customHeight="1" x14ac:dyDescent="0.25">
      <c r="B145" s="513"/>
      <c r="C145" s="472" t="s">
        <v>2152</v>
      </c>
      <c r="D145" s="523" t="s">
        <v>2153</v>
      </c>
      <c r="E145" s="531" t="s">
        <v>2154</v>
      </c>
      <c r="F145" s="532" t="s">
        <v>1971</v>
      </c>
      <c r="G145" s="536">
        <v>12089</v>
      </c>
    </row>
    <row r="146" spans="2:7" ht="12" customHeight="1" x14ac:dyDescent="0.25">
      <c r="B146" s="513"/>
      <c r="C146" s="522" t="s">
        <v>2155</v>
      </c>
      <c r="D146" s="523" t="s">
        <v>2153</v>
      </c>
      <c r="E146" s="524" t="s">
        <v>2154</v>
      </c>
      <c r="F146" s="473" t="s">
        <v>1971</v>
      </c>
      <c r="G146" s="526">
        <v>13547.5</v>
      </c>
    </row>
    <row r="147" spans="2:7" ht="12" customHeight="1" x14ac:dyDescent="0.25">
      <c r="B147" s="545"/>
      <c r="C147" s="540" t="s">
        <v>2008</v>
      </c>
      <c r="D147" s="541" t="s">
        <v>2008</v>
      </c>
      <c r="E147" s="542" t="s">
        <v>1967</v>
      </c>
      <c r="F147" s="543" t="s">
        <v>1965</v>
      </c>
      <c r="G147" s="546">
        <v>7600</v>
      </c>
    </row>
    <row r="148" spans="2:7" ht="12" customHeight="1" x14ac:dyDescent="0.25">
      <c r="B148" s="459" t="s">
        <v>705</v>
      </c>
      <c r="C148" s="552" t="s">
        <v>1976</v>
      </c>
      <c r="D148" s="553" t="s">
        <v>2051</v>
      </c>
      <c r="E148" s="554" t="s">
        <v>2156</v>
      </c>
      <c r="F148" s="555" t="s">
        <v>1971</v>
      </c>
      <c r="G148" s="556">
        <v>1500</v>
      </c>
    </row>
    <row r="149" spans="2:7" ht="12" customHeight="1" x14ac:dyDescent="0.25">
      <c r="B149" s="516" t="s">
        <v>706</v>
      </c>
      <c r="C149" s="517" t="s">
        <v>2010</v>
      </c>
      <c r="D149" s="518" t="s">
        <v>2011</v>
      </c>
      <c r="E149" s="519" t="s">
        <v>1967</v>
      </c>
      <c r="F149" s="520" t="s">
        <v>1965</v>
      </c>
      <c r="G149" s="547">
        <v>4821</v>
      </c>
    </row>
    <row r="150" spans="2:7" ht="12" customHeight="1" x14ac:dyDescent="0.25">
      <c r="B150" s="513"/>
      <c r="C150" s="522"/>
      <c r="D150" s="523"/>
      <c r="E150" s="504" t="s">
        <v>2073</v>
      </c>
      <c r="F150" s="473" t="s">
        <v>1965</v>
      </c>
      <c r="G150" s="526">
        <v>2000</v>
      </c>
    </row>
    <row r="151" spans="2:7" ht="12" customHeight="1" x14ac:dyDescent="0.25">
      <c r="B151" s="545"/>
      <c r="C151" s="540" t="s">
        <v>2090</v>
      </c>
      <c r="D151" s="541" t="s">
        <v>1553</v>
      </c>
      <c r="E151" s="542" t="s">
        <v>1554</v>
      </c>
      <c r="F151" s="543" t="s">
        <v>280</v>
      </c>
      <c r="G151" s="546">
        <v>662</v>
      </c>
    </row>
    <row r="152" spans="2:7" ht="12" customHeight="1" x14ac:dyDescent="0.25">
      <c r="B152" s="516" t="s">
        <v>707</v>
      </c>
      <c r="C152" s="517" t="s">
        <v>2157</v>
      </c>
      <c r="D152" s="518" t="s">
        <v>1954</v>
      </c>
      <c r="E152" s="519" t="s">
        <v>1955</v>
      </c>
      <c r="F152" s="520" t="s">
        <v>1971</v>
      </c>
      <c r="G152" s="547">
        <v>317134</v>
      </c>
    </row>
    <row r="153" spans="2:7" ht="12" customHeight="1" x14ac:dyDescent="0.25">
      <c r="B153" s="537"/>
      <c r="C153" s="522" t="s">
        <v>2144</v>
      </c>
      <c r="D153" s="523" t="s">
        <v>1402</v>
      </c>
      <c r="E153" s="524" t="s">
        <v>1403</v>
      </c>
      <c r="F153" s="527" t="s">
        <v>280</v>
      </c>
      <c r="G153" s="538">
        <v>11</v>
      </c>
    </row>
    <row r="154" spans="2:7" ht="12" customHeight="1" x14ac:dyDescent="0.25">
      <c r="B154" s="537"/>
      <c r="C154" s="522" t="s">
        <v>2158</v>
      </c>
      <c r="D154" s="523" t="s">
        <v>1402</v>
      </c>
      <c r="E154" s="524" t="s">
        <v>1403</v>
      </c>
      <c r="F154" s="473" t="s">
        <v>1971</v>
      </c>
      <c r="G154" s="525">
        <v>507903.87</v>
      </c>
    </row>
    <row r="155" spans="2:7" ht="12" customHeight="1" x14ac:dyDescent="0.25">
      <c r="B155" s="513"/>
      <c r="C155" s="472" t="s">
        <v>1968</v>
      </c>
      <c r="D155" s="523" t="s">
        <v>1969</v>
      </c>
      <c r="E155" s="524" t="s">
        <v>1970</v>
      </c>
      <c r="F155" s="473" t="s">
        <v>1971</v>
      </c>
      <c r="G155" s="525">
        <v>20000</v>
      </c>
    </row>
    <row r="156" spans="2:7" ht="12" customHeight="1" x14ac:dyDescent="0.25">
      <c r="B156" s="545"/>
      <c r="C156" s="557" t="s">
        <v>1972</v>
      </c>
      <c r="D156" s="541" t="s">
        <v>1969</v>
      </c>
      <c r="E156" s="542" t="s">
        <v>1970</v>
      </c>
      <c r="F156" s="543" t="s">
        <v>1971</v>
      </c>
      <c r="G156" s="544">
        <v>139200</v>
      </c>
    </row>
    <row r="157" spans="2:7" ht="12" customHeight="1" x14ac:dyDescent="0.25">
      <c r="B157" s="516" t="s">
        <v>2159</v>
      </c>
      <c r="C157" s="551" t="s">
        <v>1986</v>
      </c>
      <c r="D157" s="518" t="s">
        <v>1986</v>
      </c>
      <c r="E157" s="519" t="s">
        <v>2160</v>
      </c>
      <c r="F157" s="520" t="s">
        <v>1971</v>
      </c>
      <c r="G157" s="521">
        <v>9500</v>
      </c>
    </row>
    <row r="158" spans="2:7" ht="12" customHeight="1" x14ac:dyDescent="0.25">
      <c r="B158" s="545"/>
      <c r="C158" s="557"/>
      <c r="D158" s="541"/>
      <c r="E158" s="542" t="s">
        <v>1988</v>
      </c>
      <c r="F158" s="543" t="s">
        <v>1971</v>
      </c>
      <c r="G158" s="544">
        <v>120350</v>
      </c>
    </row>
    <row r="159" spans="2:7" ht="12" customHeight="1" x14ac:dyDescent="0.25">
      <c r="B159" s="516" t="s">
        <v>708</v>
      </c>
      <c r="C159" s="551" t="s">
        <v>2010</v>
      </c>
      <c r="D159" s="518" t="s">
        <v>2011</v>
      </c>
      <c r="E159" s="519" t="s">
        <v>2161</v>
      </c>
      <c r="F159" s="520" t="s">
        <v>1965</v>
      </c>
      <c r="G159" s="521">
        <v>500</v>
      </c>
    </row>
    <row r="160" spans="2:7" ht="12" customHeight="1" x14ac:dyDescent="0.25">
      <c r="B160" s="545"/>
      <c r="C160" s="557"/>
      <c r="D160" s="541"/>
      <c r="E160" s="542" t="s">
        <v>2162</v>
      </c>
      <c r="F160" s="543" t="s">
        <v>1965</v>
      </c>
      <c r="G160" s="544">
        <v>130</v>
      </c>
    </row>
    <row r="161" spans="2:7" ht="12" customHeight="1" x14ac:dyDescent="0.25">
      <c r="B161" s="516" t="s">
        <v>709</v>
      </c>
      <c r="C161" s="551" t="s">
        <v>1973</v>
      </c>
      <c r="D161" s="518" t="s">
        <v>1973</v>
      </c>
      <c r="E161" s="519" t="s">
        <v>1974</v>
      </c>
      <c r="F161" s="520" t="s">
        <v>1965</v>
      </c>
      <c r="G161" s="521">
        <v>80540</v>
      </c>
    </row>
    <row r="162" spans="2:7" ht="12" customHeight="1" x14ac:dyDescent="0.25">
      <c r="B162" s="545"/>
      <c r="C162" s="557" t="s">
        <v>1972</v>
      </c>
      <c r="D162" s="541" t="s">
        <v>1969</v>
      </c>
      <c r="E162" s="542" t="s">
        <v>1970</v>
      </c>
      <c r="F162" s="543" t="s">
        <v>1971</v>
      </c>
      <c r="G162" s="544">
        <v>27000</v>
      </c>
    </row>
    <row r="163" spans="2:7" ht="12" customHeight="1" x14ac:dyDescent="0.25">
      <c r="B163" s="513" t="s">
        <v>710</v>
      </c>
      <c r="C163" s="472" t="s">
        <v>2163</v>
      </c>
      <c r="D163" s="523" t="s">
        <v>1028</v>
      </c>
      <c r="E163" s="524" t="s">
        <v>1031</v>
      </c>
      <c r="F163" s="473" t="s">
        <v>280</v>
      </c>
      <c r="G163" s="525">
        <v>8750</v>
      </c>
    </row>
    <row r="164" spans="2:7" ht="12" customHeight="1" x14ac:dyDescent="0.25">
      <c r="B164" s="513"/>
      <c r="C164" s="472" t="s">
        <v>1981</v>
      </c>
      <c r="D164" s="523" t="s">
        <v>2085</v>
      </c>
      <c r="E164" s="524" t="s">
        <v>2086</v>
      </c>
      <c r="F164" s="473" t="s">
        <v>1971</v>
      </c>
      <c r="G164" s="525">
        <v>3200</v>
      </c>
    </row>
    <row r="165" spans="2:7" ht="12" customHeight="1" x14ac:dyDescent="0.25">
      <c r="B165" s="513"/>
      <c r="C165" s="472" t="s">
        <v>2090</v>
      </c>
      <c r="D165" s="523" t="s">
        <v>1553</v>
      </c>
      <c r="E165" s="524" t="s">
        <v>1554</v>
      </c>
      <c r="F165" s="473" t="s">
        <v>280</v>
      </c>
      <c r="G165" s="525">
        <v>16400</v>
      </c>
    </row>
    <row r="166" spans="2:7" ht="12" customHeight="1" x14ac:dyDescent="0.25">
      <c r="B166" s="537"/>
      <c r="C166" s="522" t="s">
        <v>1976</v>
      </c>
      <c r="D166" s="523" t="s">
        <v>989</v>
      </c>
      <c r="E166" s="524" t="s">
        <v>2074</v>
      </c>
      <c r="F166" s="473" t="s">
        <v>1971</v>
      </c>
      <c r="G166" s="525">
        <v>12234</v>
      </c>
    </row>
    <row r="167" spans="2:7" ht="12" customHeight="1" x14ac:dyDescent="0.25">
      <c r="B167" s="537"/>
      <c r="C167" s="522"/>
      <c r="D167" s="523" t="s">
        <v>2164</v>
      </c>
      <c r="E167" s="524" t="s">
        <v>2165</v>
      </c>
      <c r="F167" s="473" t="s">
        <v>1971</v>
      </c>
      <c r="G167" s="525">
        <v>5000</v>
      </c>
    </row>
    <row r="168" spans="2:7" ht="12" customHeight="1" x14ac:dyDescent="0.25">
      <c r="B168" s="537"/>
      <c r="C168" s="522"/>
      <c r="D168" s="523" t="s">
        <v>2118</v>
      </c>
      <c r="E168" s="524" t="s">
        <v>2119</v>
      </c>
      <c r="F168" s="473" t="s">
        <v>1971</v>
      </c>
      <c r="G168" s="525">
        <v>7000</v>
      </c>
    </row>
    <row r="169" spans="2:7" ht="12" customHeight="1" x14ac:dyDescent="0.25">
      <c r="B169" s="537"/>
      <c r="C169" s="522" t="s">
        <v>2144</v>
      </c>
      <c r="D169" s="523" t="s">
        <v>1034</v>
      </c>
      <c r="E169" s="524" t="s">
        <v>1040</v>
      </c>
      <c r="F169" s="473" t="s">
        <v>1971</v>
      </c>
      <c r="G169" s="525">
        <v>10000</v>
      </c>
    </row>
    <row r="170" spans="2:7" ht="12" customHeight="1" x14ac:dyDescent="0.25">
      <c r="B170" s="537"/>
      <c r="C170" s="522"/>
      <c r="D170" s="523"/>
      <c r="E170" s="524"/>
      <c r="F170" s="473" t="s">
        <v>280</v>
      </c>
      <c r="G170" s="525">
        <v>5550</v>
      </c>
    </row>
    <row r="171" spans="2:7" ht="12" customHeight="1" x14ac:dyDescent="0.25">
      <c r="B171" s="539"/>
      <c r="C171" s="540" t="s">
        <v>2076</v>
      </c>
      <c r="D171" s="541" t="s">
        <v>2076</v>
      </c>
      <c r="E171" s="542" t="s">
        <v>2077</v>
      </c>
      <c r="F171" s="543" t="s">
        <v>1971</v>
      </c>
      <c r="G171" s="544">
        <v>458500</v>
      </c>
    </row>
    <row r="172" spans="2:7" ht="11.25" customHeight="1" x14ac:dyDescent="0.25">
      <c r="B172" s="13" t="s">
        <v>53</v>
      </c>
      <c r="C172" s="13"/>
      <c r="D172" s="53"/>
      <c r="E172" s="53"/>
      <c r="F172" s="56"/>
      <c r="G172" s="63"/>
    </row>
    <row r="173" spans="2:7" ht="11.25" customHeight="1" x14ac:dyDescent="0.25">
      <c r="B173" s="18" t="s">
        <v>81</v>
      </c>
      <c r="C173" s="18"/>
      <c r="D173" s="52"/>
      <c r="E173" s="52"/>
      <c r="F173" s="56"/>
      <c r="G173" s="63"/>
    </row>
    <row r="174" spans="2:7" ht="11.25" customHeight="1" x14ac:dyDescent="0.25">
      <c r="B174" s="53"/>
      <c r="C174" s="53"/>
      <c r="D174" s="53"/>
      <c r="E174" s="53"/>
      <c r="F174" s="53"/>
      <c r="G174" s="64"/>
    </row>
    <row r="175" spans="2:7" ht="11.25" customHeight="1" x14ac:dyDescent="0.25">
      <c r="B175" s="18"/>
      <c r="C175" s="18"/>
      <c r="D175" s="18"/>
      <c r="E175" s="18"/>
      <c r="F175" s="18"/>
      <c r="G175" s="60"/>
    </row>
    <row r="176" spans="2:7" ht="11.25" customHeight="1" x14ac:dyDescent="0.25">
      <c r="B176" s="18"/>
      <c r="C176" s="18"/>
      <c r="D176" s="18"/>
      <c r="E176" s="18"/>
      <c r="F176" s="18"/>
      <c r="G176" s="60"/>
    </row>
    <row r="177" spans="2:7" ht="11.25" customHeight="1" x14ac:dyDescent="0.25">
      <c r="B177" s="18"/>
      <c r="C177" s="18"/>
      <c r="D177" s="18"/>
      <c r="E177" s="18"/>
      <c r="F177" s="18"/>
      <c r="G177" s="60"/>
    </row>
    <row r="178" spans="2:7" ht="11.25" customHeight="1" x14ac:dyDescent="0.25">
      <c r="B178" s="65" t="s">
        <v>2166</v>
      </c>
      <c r="C178" s="225"/>
      <c r="D178" s="66"/>
      <c r="E178" s="66"/>
      <c r="F178" s="8"/>
      <c r="G178" s="8"/>
    </row>
    <row r="179" spans="2:7" ht="14.45" customHeight="1" x14ac:dyDescent="0.25">
      <c r="B179" s="424" t="s">
        <v>281</v>
      </c>
      <c r="C179" s="559" t="s">
        <v>277</v>
      </c>
      <c r="D179" s="560" t="s">
        <v>277</v>
      </c>
      <c r="E179" s="560" t="s">
        <v>45</v>
      </c>
      <c r="F179" s="8"/>
      <c r="G179" s="8"/>
    </row>
    <row r="180" spans="2:7" ht="11.25" customHeight="1" x14ac:dyDescent="0.25">
      <c r="B180" s="561" t="s">
        <v>2163</v>
      </c>
      <c r="C180" s="562" t="s">
        <v>1028</v>
      </c>
      <c r="D180" s="444" t="s">
        <v>280</v>
      </c>
      <c r="E180" s="444">
        <v>8750</v>
      </c>
      <c r="F180" s="8"/>
      <c r="G180" s="8"/>
    </row>
    <row r="181" spans="2:7" ht="11.25" customHeight="1" x14ac:dyDescent="0.25">
      <c r="B181" s="561" t="s">
        <v>2157</v>
      </c>
      <c r="C181" s="562" t="s">
        <v>1954</v>
      </c>
      <c r="D181" s="444" t="s">
        <v>1971</v>
      </c>
      <c r="E181" s="444">
        <v>317134</v>
      </c>
      <c r="F181" s="8"/>
      <c r="G181" s="8"/>
    </row>
    <row r="182" spans="2:7" ht="11.25" customHeight="1" x14ac:dyDescent="0.25">
      <c r="B182" s="561" t="s">
        <v>1989</v>
      </c>
      <c r="C182" s="562" t="s">
        <v>1989</v>
      </c>
      <c r="D182" s="444" t="s">
        <v>1971</v>
      </c>
      <c r="E182" s="444">
        <v>1972995</v>
      </c>
      <c r="F182" s="8"/>
      <c r="G182" s="8"/>
    </row>
    <row r="183" spans="2:7" ht="11.25" customHeight="1" x14ac:dyDescent="0.25">
      <c r="B183" s="561" t="s">
        <v>1963</v>
      </c>
      <c r="C183" s="562" t="s">
        <v>1963</v>
      </c>
      <c r="D183" s="444" t="s">
        <v>1965</v>
      </c>
      <c r="E183" s="444">
        <v>16104</v>
      </c>
      <c r="F183" s="8"/>
      <c r="G183" s="8"/>
    </row>
    <row r="184" spans="2:7" ht="11.25" customHeight="1" x14ac:dyDescent="0.25">
      <c r="B184" s="561" t="s">
        <v>2010</v>
      </c>
      <c r="C184" s="562" t="s">
        <v>2011</v>
      </c>
      <c r="D184" s="444" t="s">
        <v>1965</v>
      </c>
      <c r="E184" s="444">
        <v>265705</v>
      </c>
      <c r="F184" s="8"/>
      <c r="G184" s="8"/>
    </row>
    <row r="185" spans="2:7" ht="12" customHeight="1" x14ac:dyDescent="0.25">
      <c r="B185" s="561" t="s">
        <v>1966</v>
      </c>
      <c r="C185" s="562" t="s">
        <v>1966</v>
      </c>
      <c r="D185" s="444" t="s">
        <v>1965</v>
      </c>
      <c r="E185" s="444">
        <v>34347</v>
      </c>
    </row>
    <row r="186" spans="2:7" ht="12" customHeight="1" x14ac:dyDescent="0.25">
      <c r="B186" s="561" t="s">
        <v>1973</v>
      </c>
      <c r="C186" s="562" t="s">
        <v>1973</v>
      </c>
      <c r="D186" s="444" t="s">
        <v>1965</v>
      </c>
      <c r="E186" s="444">
        <v>265340</v>
      </c>
    </row>
    <row r="187" spans="2:7" ht="12" customHeight="1" x14ac:dyDescent="0.25">
      <c r="B187" s="561" t="s">
        <v>2149</v>
      </c>
      <c r="C187" s="562" t="s">
        <v>1697</v>
      </c>
      <c r="D187" s="444" t="s">
        <v>1971</v>
      </c>
      <c r="E187" s="444">
        <v>13016622.649999999</v>
      </c>
    </row>
    <row r="188" spans="2:7" ht="12" customHeight="1" x14ac:dyDescent="0.25">
      <c r="B188" s="561" t="s">
        <v>2151</v>
      </c>
      <c r="C188" s="562" t="s">
        <v>1697</v>
      </c>
      <c r="D188" s="444" t="s">
        <v>1971</v>
      </c>
      <c r="E188" s="444">
        <v>4361750.5500000007</v>
      </c>
    </row>
    <row r="189" spans="2:7" ht="12" customHeight="1" x14ac:dyDescent="0.25">
      <c r="B189" s="561" t="s">
        <v>1979</v>
      </c>
      <c r="C189" s="562" t="s">
        <v>1979</v>
      </c>
      <c r="D189" s="444" t="s">
        <v>1971</v>
      </c>
      <c r="E189" s="444">
        <v>205113</v>
      </c>
    </row>
    <row r="190" spans="2:7" ht="11.25" customHeight="1" x14ac:dyDescent="0.25">
      <c r="B190" s="563" t="s">
        <v>1975</v>
      </c>
      <c r="C190" s="562" t="s">
        <v>2078</v>
      </c>
      <c r="D190" s="444" t="s">
        <v>1971</v>
      </c>
      <c r="E190" s="444">
        <v>500</v>
      </c>
    </row>
    <row r="191" spans="2:7" ht="11.25" customHeight="1" x14ac:dyDescent="0.25">
      <c r="B191" s="564"/>
      <c r="C191" s="562" t="s">
        <v>1973</v>
      </c>
      <c r="D191" s="444" t="s">
        <v>1965</v>
      </c>
      <c r="E191" s="444">
        <v>800</v>
      </c>
    </row>
    <row r="192" spans="2:7" ht="11.25" customHeight="1" x14ac:dyDescent="0.25">
      <c r="B192" s="565"/>
      <c r="C192" s="562" t="s">
        <v>2080</v>
      </c>
      <c r="D192" s="444" t="s">
        <v>1965</v>
      </c>
      <c r="E192" s="444">
        <v>2100</v>
      </c>
    </row>
    <row r="193" spans="2:5" ht="11.25" customHeight="1" x14ac:dyDescent="0.25">
      <c r="B193" s="561" t="s">
        <v>2082</v>
      </c>
      <c r="C193" s="562" t="s">
        <v>2083</v>
      </c>
      <c r="D193" s="444" t="s">
        <v>1971</v>
      </c>
      <c r="E193" s="444">
        <v>82.6</v>
      </c>
    </row>
    <row r="194" spans="2:5" ht="11.25" customHeight="1" x14ac:dyDescent="0.25">
      <c r="B194" s="563" t="s">
        <v>1981</v>
      </c>
      <c r="C194" s="562" t="s">
        <v>2085</v>
      </c>
      <c r="D194" s="444" t="s">
        <v>1971</v>
      </c>
      <c r="E194" s="444">
        <v>13740</v>
      </c>
    </row>
    <row r="195" spans="2:5" ht="11.25" customHeight="1" x14ac:dyDescent="0.25">
      <c r="B195" s="565"/>
      <c r="C195" s="562" t="s">
        <v>1982</v>
      </c>
      <c r="D195" s="444" t="s">
        <v>1971</v>
      </c>
      <c r="E195" s="444">
        <v>4740</v>
      </c>
    </row>
    <row r="196" spans="2:5" ht="11.25" customHeight="1" x14ac:dyDescent="0.25">
      <c r="B196" s="561" t="s">
        <v>2087</v>
      </c>
      <c r="C196" s="562" t="s">
        <v>2088</v>
      </c>
      <c r="D196" s="444" t="s">
        <v>1971</v>
      </c>
      <c r="E196" s="444">
        <v>12770.3</v>
      </c>
    </row>
    <row r="197" spans="2:5" ht="11.25" customHeight="1" x14ac:dyDescent="0.25">
      <c r="B197" s="561" t="s">
        <v>1991</v>
      </c>
      <c r="C197" s="562" t="s">
        <v>1992</v>
      </c>
      <c r="D197" s="444" t="s">
        <v>1965</v>
      </c>
      <c r="E197" s="444">
        <v>50</v>
      </c>
    </row>
    <row r="198" spans="2:5" ht="11.25" customHeight="1" x14ac:dyDescent="0.25">
      <c r="B198" s="561" t="s">
        <v>2152</v>
      </c>
      <c r="C198" s="562" t="s">
        <v>2153</v>
      </c>
      <c r="D198" s="444" t="s">
        <v>1971</v>
      </c>
      <c r="E198" s="444">
        <v>12089</v>
      </c>
    </row>
    <row r="199" spans="2:5" ht="11.25" customHeight="1" x14ac:dyDescent="0.25">
      <c r="B199" s="561" t="s">
        <v>2155</v>
      </c>
      <c r="C199" s="562" t="s">
        <v>2153</v>
      </c>
      <c r="D199" s="444" t="s">
        <v>1971</v>
      </c>
      <c r="E199" s="444">
        <v>13547.5</v>
      </c>
    </row>
    <row r="200" spans="2:5" ht="11.25" customHeight="1" x14ac:dyDescent="0.25">
      <c r="B200" s="561" t="s">
        <v>2080</v>
      </c>
      <c r="C200" s="562" t="s">
        <v>2080</v>
      </c>
      <c r="D200" s="444" t="s">
        <v>1965</v>
      </c>
      <c r="E200" s="444">
        <v>300</v>
      </c>
    </row>
    <row r="201" spans="2:5" ht="12" customHeight="1" x14ac:dyDescent="0.25">
      <c r="B201" s="563" t="s">
        <v>2090</v>
      </c>
      <c r="C201" s="562" t="s">
        <v>1034</v>
      </c>
      <c r="D201" s="444" t="s">
        <v>280</v>
      </c>
      <c r="E201" s="444">
        <v>20</v>
      </c>
    </row>
    <row r="202" spans="2:5" ht="12" customHeight="1" x14ac:dyDescent="0.25">
      <c r="B202" s="564"/>
      <c r="C202" s="562" t="s">
        <v>1332</v>
      </c>
      <c r="D202" s="444" t="s">
        <v>280</v>
      </c>
      <c r="E202" s="444">
        <v>1000</v>
      </c>
    </row>
    <row r="203" spans="2:5" ht="12" customHeight="1" x14ac:dyDescent="0.25">
      <c r="B203" s="565"/>
      <c r="C203" s="562" t="s">
        <v>1553</v>
      </c>
      <c r="D203" s="444" t="s">
        <v>280</v>
      </c>
      <c r="E203" s="444">
        <v>67256</v>
      </c>
    </row>
    <row r="204" spans="2:5" ht="12" customHeight="1" x14ac:dyDescent="0.25">
      <c r="B204" s="563" t="s">
        <v>2013</v>
      </c>
      <c r="C204" s="562" t="s">
        <v>2013</v>
      </c>
      <c r="D204" s="444" t="s">
        <v>1971</v>
      </c>
      <c r="E204" s="444">
        <v>119407.5</v>
      </c>
    </row>
    <row r="205" spans="2:5" ht="12" customHeight="1" x14ac:dyDescent="0.25">
      <c r="B205" s="565"/>
      <c r="C205" s="562" t="s">
        <v>2014</v>
      </c>
      <c r="D205" s="444" t="s">
        <v>1971</v>
      </c>
      <c r="E205" s="444">
        <v>268540</v>
      </c>
    </row>
    <row r="206" spans="2:5" ht="12" customHeight="1" x14ac:dyDescent="0.25">
      <c r="B206" s="561" t="s">
        <v>2008</v>
      </c>
      <c r="C206" s="562" t="s">
        <v>2008</v>
      </c>
      <c r="D206" s="444" t="s">
        <v>1965</v>
      </c>
      <c r="E206" s="444">
        <v>12380</v>
      </c>
    </row>
    <row r="207" spans="2:5" ht="12" customHeight="1" x14ac:dyDescent="0.25">
      <c r="B207" s="563" t="s">
        <v>1976</v>
      </c>
      <c r="C207" s="562" t="s">
        <v>2091</v>
      </c>
      <c r="D207" s="444" t="s">
        <v>1971</v>
      </c>
      <c r="E207" s="444">
        <v>29</v>
      </c>
    </row>
    <row r="208" spans="2:5" ht="12" customHeight="1" x14ac:dyDescent="0.25">
      <c r="B208" s="564"/>
      <c r="C208" s="562" t="s">
        <v>2093</v>
      </c>
      <c r="D208" s="444" t="s">
        <v>1971</v>
      </c>
      <c r="E208" s="444">
        <v>1</v>
      </c>
    </row>
    <row r="209" spans="2:5" ht="12" customHeight="1" x14ac:dyDescent="0.25">
      <c r="B209" s="564"/>
      <c r="C209" s="562" t="s">
        <v>1984</v>
      </c>
      <c r="D209" s="444" t="s">
        <v>1971</v>
      </c>
      <c r="E209" s="444">
        <v>4063.6</v>
      </c>
    </row>
    <row r="210" spans="2:5" ht="12" customHeight="1" x14ac:dyDescent="0.25">
      <c r="B210" s="564"/>
      <c r="C210" s="562" t="s">
        <v>2016</v>
      </c>
      <c r="D210" s="444" t="s">
        <v>1971</v>
      </c>
      <c r="E210" s="444">
        <v>800</v>
      </c>
    </row>
    <row r="211" spans="2:5" ht="12" customHeight="1" x14ac:dyDescent="0.25">
      <c r="B211" s="564"/>
      <c r="C211" s="562" t="s">
        <v>2095</v>
      </c>
      <c r="D211" s="444" t="s">
        <v>1971</v>
      </c>
      <c r="E211" s="444">
        <v>844.5</v>
      </c>
    </row>
    <row r="212" spans="2:5" ht="12" customHeight="1" x14ac:dyDescent="0.25">
      <c r="B212" s="564"/>
      <c r="C212" s="562" t="s">
        <v>834</v>
      </c>
      <c r="D212" s="444" t="s">
        <v>1971</v>
      </c>
      <c r="E212" s="444">
        <v>6</v>
      </c>
    </row>
    <row r="213" spans="2:5" ht="12" customHeight="1" x14ac:dyDescent="0.25">
      <c r="B213" s="564"/>
      <c r="C213" s="562" t="s">
        <v>851</v>
      </c>
      <c r="D213" s="444" t="s">
        <v>1971</v>
      </c>
      <c r="E213" s="444">
        <v>80</v>
      </c>
    </row>
    <row r="214" spans="2:5" ht="12" customHeight="1" x14ac:dyDescent="0.25">
      <c r="B214" s="564"/>
      <c r="C214" s="562" t="s">
        <v>2018</v>
      </c>
      <c r="D214" s="444" t="s">
        <v>1971</v>
      </c>
      <c r="E214" s="444">
        <v>39</v>
      </c>
    </row>
    <row r="215" spans="2:5" ht="12" customHeight="1" x14ac:dyDescent="0.25">
      <c r="B215" s="564"/>
      <c r="C215" s="562" t="s">
        <v>2097</v>
      </c>
      <c r="D215" s="444" t="s">
        <v>1971</v>
      </c>
      <c r="E215" s="444">
        <v>12</v>
      </c>
    </row>
    <row r="216" spans="2:5" ht="12" customHeight="1" x14ac:dyDescent="0.25">
      <c r="B216" s="564"/>
      <c r="C216" s="562" t="s">
        <v>2167</v>
      </c>
      <c r="D216" s="444" t="s">
        <v>1971</v>
      </c>
      <c r="E216" s="444">
        <v>100</v>
      </c>
    </row>
    <row r="217" spans="2:5" ht="12" customHeight="1" x14ac:dyDescent="0.25">
      <c r="B217" s="564"/>
      <c r="C217" s="562" t="s">
        <v>2019</v>
      </c>
      <c r="D217" s="444" t="s">
        <v>1971</v>
      </c>
      <c r="E217" s="444">
        <v>160</v>
      </c>
    </row>
    <row r="218" spans="2:5" ht="12" customHeight="1" x14ac:dyDescent="0.25">
      <c r="B218" s="564"/>
      <c r="C218" s="562" t="s">
        <v>2021</v>
      </c>
      <c r="D218" s="444" t="s">
        <v>1971</v>
      </c>
      <c r="E218" s="444">
        <v>1190</v>
      </c>
    </row>
    <row r="219" spans="2:5" ht="12" customHeight="1" x14ac:dyDescent="0.25">
      <c r="B219" s="564"/>
      <c r="C219" s="562" t="s">
        <v>913</v>
      </c>
      <c r="D219" s="444" t="s">
        <v>1971</v>
      </c>
      <c r="E219" s="444">
        <v>90</v>
      </c>
    </row>
    <row r="220" spans="2:5" ht="12" customHeight="1" x14ac:dyDescent="0.25">
      <c r="B220" s="564"/>
      <c r="C220" s="562" t="s">
        <v>978</v>
      </c>
      <c r="D220" s="444" t="s">
        <v>1971</v>
      </c>
      <c r="E220" s="444">
        <v>80</v>
      </c>
    </row>
    <row r="221" spans="2:5" ht="12" customHeight="1" x14ac:dyDescent="0.25">
      <c r="B221" s="564"/>
      <c r="C221" s="562" t="s">
        <v>2101</v>
      </c>
      <c r="D221" s="444" t="s">
        <v>1971</v>
      </c>
      <c r="E221" s="444">
        <v>179</v>
      </c>
    </row>
    <row r="222" spans="2:5" ht="12" customHeight="1" x14ac:dyDescent="0.25">
      <c r="B222" s="564"/>
      <c r="C222" s="562" t="s">
        <v>2083</v>
      </c>
      <c r="D222" s="444" t="s">
        <v>1971</v>
      </c>
      <c r="E222" s="444">
        <v>27.6</v>
      </c>
    </row>
    <row r="223" spans="2:5" ht="12" customHeight="1" x14ac:dyDescent="0.25">
      <c r="B223" s="564"/>
      <c r="C223" s="562" t="s">
        <v>989</v>
      </c>
      <c r="D223" s="444" t="s">
        <v>1971</v>
      </c>
      <c r="E223" s="444">
        <v>46472.249999999993</v>
      </c>
    </row>
    <row r="224" spans="2:5" ht="12" customHeight="1" x14ac:dyDescent="0.25">
      <c r="B224" s="564"/>
      <c r="C224" s="562" t="s">
        <v>2103</v>
      </c>
      <c r="D224" s="444" t="s">
        <v>1971</v>
      </c>
      <c r="E224" s="444">
        <v>155</v>
      </c>
    </row>
    <row r="225" spans="2:5" ht="12" customHeight="1" x14ac:dyDescent="0.25">
      <c r="B225" s="564"/>
      <c r="C225" s="562" t="s">
        <v>2168</v>
      </c>
      <c r="D225" s="444" t="s">
        <v>1971</v>
      </c>
      <c r="E225" s="444">
        <v>5000</v>
      </c>
    </row>
    <row r="226" spans="2:5" ht="12" customHeight="1" x14ac:dyDescent="0.25">
      <c r="B226" s="564"/>
      <c r="C226" s="562" t="s">
        <v>2105</v>
      </c>
      <c r="D226" s="444" t="s">
        <v>1971</v>
      </c>
      <c r="E226" s="444">
        <v>13</v>
      </c>
    </row>
    <row r="227" spans="2:5" ht="12" customHeight="1" x14ac:dyDescent="0.25">
      <c r="B227" s="564"/>
      <c r="C227" s="562" t="s">
        <v>2023</v>
      </c>
      <c r="D227" s="444" t="s">
        <v>1971</v>
      </c>
      <c r="E227" s="444">
        <v>4300</v>
      </c>
    </row>
    <row r="228" spans="2:5" ht="12" customHeight="1" x14ac:dyDescent="0.25">
      <c r="B228" s="564"/>
      <c r="C228" s="562" t="s">
        <v>2107</v>
      </c>
      <c r="D228" s="444" t="s">
        <v>1971</v>
      </c>
      <c r="E228" s="444">
        <v>10</v>
      </c>
    </row>
    <row r="229" spans="2:5" ht="12" customHeight="1" x14ac:dyDescent="0.25">
      <c r="B229" s="564"/>
      <c r="C229" s="562" t="s">
        <v>2026</v>
      </c>
      <c r="D229" s="444" t="s">
        <v>1971</v>
      </c>
      <c r="E229" s="444">
        <v>1050</v>
      </c>
    </row>
    <row r="230" spans="2:5" ht="12" customHeight="1" x14ac:dyDescent="0.25">
      <c r="B230" s="564"/>
      <c r="C230" s="562" t="s">
        <v>1076</v>
      </c>
      <c r="D230" s="444" t="s">
        <v>1971</v>
      </c>
      <c r="E230" s="444">
        <v>50</v>
      </c>
    </row>
    <row r="231" spans="2:5" ht="12" customHeight="1" x14ac:dyDescent="0.25">
      <c r="B231" s="564"/>
      <c r="C231" s="562" t="s">
        <v>2028</v>
      </c>
      <c r="D231" s="444" t="s">
        <v>1971</v>
      </c>
      <c r="E231" s="444">
        <v>350</v>
      </c>
    </row>
    <row r="232" spans="2:5" ht="12" customHeight="1" x14ac:dyDescent="0.25">
      <c r="B232" s="564"/>
      <c r="C232" s="562" t="s">
        <v>2030</v>
      </c>
      <c r="D232" s="444" t="s">
        <v>1971</v>
      </c>
      <c r="E232" s="444">
        <v>830</v>
      </c>
    </row>
    <row r="233" spans="2:5" ht="12" customHeight="1" x14ac:dyDescent="0.25">
      <c r="B233" s="564"/>
      <c r="C233" s="562" t="s">
        <v>1092</v>
      </c>
      <c r="D233" s="444" t="s">
        <v>1971</v>
      </c>
      <c r="E233" s="444">
        <v>103</v>
      </c>
    </row>
    <row r="234" spans="2:5" ht="12" customHeight="1" x14ac:dyDescent="0.25">
      <c r="B234" s="564"/>
      <c r="C234" s="562" t="s">
        <v>1977</v>
      </c>
      <c r="D234" s="444" t="s">
        <v>1971</v>
      </c>
      <c r="E234" s="444">
        <v>11500</v>
      </c>
    </row>
    <row r="235" spans="2:5" ht="12" customHeight="1" x14ac:dyDescent="0.25">
      <c r="B235" s="564"/>
      <c r="C235" s="562" t="s">
        <v>2032</v>
      </c>
      <c r="D235" s="444" t="s">
        <v>1971</v>
      </c>
      <c r="E235" s="444">
        <v>5800</v>
      </c>
    </row>
    <row r="236" spans="2:5" ht="12" customHeight="1" x14ac:dyDescent="0.25">
      <c r="B236" s="564"/>
      <c r="C236" s="562" t="s">
        <v>2109</v>
      </c>
      <c r="D236" s="444" t="s">
        <v>1971</v>
      </c>
      <c r="E236" s="444">
        <v>60</v>
      </c>
    </row>
    <row r="237" spans="2:5" ht="12" customHeight="1" x14ac:dyDescent="0.25">
      <c r="B237" s="564"/>
      <c r="C237" s="562" t="s">
        <v>2034</v>
      </c>
      <c r="D237" s="444" t="s">
        <v>1971</v>
      </c>
      <c r="E237" s="444">
        <v>5623</v>
      </c>
    </row>
    <row r="238" spans="2:5" ht="12" customHeight="1" x14ac:dyDescent="0.25">
      <c r="B238" s="564"/>
      <c r="C238" s="562" t="s">
        <v>2035</v>
      </c>
      <c r="D238" s="444" t="s">
        <v>1971</v>
      </c>
      <c r="E238" s="444">
        <v>70</v>
      </c>
    </row>
    <row r="239" spans="2:5" ht="12" customHeight="1" x14ac:dyDescent="0.25">
      <c r="B239" s="564"/>
      <c r="C239" s="562" t="s">
        <v>1127</v>
      </c>
      <c r="D239" s="444" t="s">
        <v>1971</v>
      </c>
      <c r="E239" s="444">
        <v>80</v>
      </c>
    </row>
    <row r="240" spans="2:5" ht="12" customHeight="1" x14ac:dyDescent="0.25">
      <c r="B240" s="564"/>
      <c r="C240" s="562" t="s">
        <v>2037</v>
      </c>
      <c r="D240" s="444" t="s">
        <v>1971</v>
      </c>
      <c r="E240" s="444">
        <v>2200</v>
      </c>
    </row>
    <row r="241" spans="2:5" ht="12" customHeight="1" x14ac:dyDescent="0.25">
      <c r="B241" s="564"/>
      <c r="C241" s="562" t="s">
        <v>2112</v>
      </c>
      <c r="D241" s="444" t="s">
        <v>1971</v>
      </c>
      <c r="E241" s="444">
        <v>163.5</v>
      </c>
    </row>
    <row r="242" spans="2:5" ht="12" customHeight="1" x14ac:dyDescent="0.25">
      <c r="B242" s="564"/>
      <c r="C242" s="562" t="s">
        <v>2039</v>
      </c>
      <c r="D242" s="444" t="s">
        <v>1971</v>
      </c>
      <c r="E242" s="444">
        <v>1850</v>
      </c>
    </row>
    <row r="243" spans="2:5" ht="12" customHeight="1" x14ac:dyDescent="0.25">
      <c r="B243" s="564"/>
      <c r="C243" s="562" t="s">
        <v>2114</v>
      </c>
      <c r="D243" s="444" t="s">
        <v>1971</v>
      </c>
      <c r="E243" s="444">
        <v>80</v>
      </c>
    </row>
    <row r="244" spans="2:5" ht="12" customHeight="1" x14ac:dyDescent="0.25">
      <c r="B244" s="564"/>
      <c r="C244" s="562" t="s">
        <v>2116</v>
      </c>
      <c r="D244" s="444" t="s">
        <v>1971</v>
      </c>
      <c r="E244" s="444">
        <v>80</v>
      </c>
    </row>
    <row r="245" spans="2:5" ht="12" customHeight="1" x14ac:dyDescent="0.25">
      <c r="B245" s="564"/>
      <c r="C245" s="562" t="s">
        <v>1997</v>
      </c>
      <c r="D245" s="444" t="s">
        <v>1971</v>
      </c>
      <c r="E245" s="444">
        <v>1361</v>
      </c>
    </row>
    <row r="246" spans="2:5" ht="12" customHeight="1" x14ac:dyDescent="0.25">
      <c r="B246" s="564"/>
      <c r="C246" s="562" t="s">
        <v>2070</v>
      </c>
      <c r="D246" s="444" t="s">
        <v>1971</v>
      </c>
      <c r="E246" s="444">
        <v>384</v>
      </c>
    </row>
    <row r="247" spans="2:5" ht="12" customHeight="1" x14ac:dyDescent="0.25">
      <c r="B247" s="564"/>
      <c r="C247" s="562" t="s">
        <v>2041</v>
      </c>
      <c r="D247" s="444" t="s">
        <v>1971</v>
      </c>
      <c r="E247" s="444">
        <v>3758</v>
      </c>
    </row>
    <row r="248" spans="2:5" ht="12" customHeight="1" x14ac:dyDescent="0.25">
      <c r="B248" s="564"/>
      <c r="C248" s="562" t="s">
        <v>2043</v>
      </c>
      <c r="D248" s="444" t="s">
        <v>1971</v>
      </c>
      <c r="E248" s="444">
        <v>140</v>
      </c>
    </row>
    <row r="249" spans="2:5" ht="12" customHeight="1" x14ac:dyDescent="0.25">
      <c r="B249" s="564"/>
      <c r="C249" s="562" t="s">
        <v>2045</v>
      </c>
      <c r="D249" s="444" t="s">
        <v>1971</v>
      </c>
      <c r="E249" s="444">
        <v>100</v>
      </c>
    </row>
    <row r="250" spans="2:5" ht="12" customHeight="1" x14ac:dyDescent="0.25">
      <c r="B250" s="564"/>
      <c r="C250" s="562" t="s">
        <v>1241</v>
      </c>
      <c r="D250" s="444" t="s">
        <v>1971</v>
      </c>
      <c r="E250" s="444">
        <v>40</v>
      </c>
    </row>
    <row r="251" spans="2:5" ht="12" customHeight="1" x14ac:dyDescent="0.25">
      <c r="B251" s="564"/>
      <c r="C251" s="562" t="s">
        <v>2047</v>
      </c>
      <c r="D251" s="444" t="s">
        <v>1971</v>
      </c>
      <c r="E251" s="444">
        <v>50</v>
      </c>
    </row>
    <row r="252" spans="2:5" ht="12" customHeight="1" x14ac:dyDescent="0.25">
      <c r="B252" s="564"/>
      <c r="C252" s="562" t="s">
        <v>2049</v>
      </c>
      <c r="D252" s="444" t="s">
        <v>1971</v>
      </c>
      <c r="E252" s="444">
        <v>2400</v>
      </c>
    </row>
    <row r="253" spans="2:5" ht="12" customHeight="1" x14ac:dyDescent="0.25">
      <c r="B253" s="564"/>
      <c r="C253" s="562" t="s">
        <v>1936</v>
      </c>
      <c r="D253" s="444" t="s">
        <v>1971</v>
      </c>
      <c r="E253" s="444">
        <v>52</v>
      </c>
    </row>
    <row r="254" spans="2:5" ht="12" customHeight="1" x14ac:dyDescent="0.25">
      <c r="B254" s="564"/>
      <c r="C254" s="562" t="s">
        <v>2118</v>
      </c>
      <c r="D254" s="444" t="s">
        <v>1971</v>
      </c>
      <c r="E254" s="444">
        <v>7080</v>
      </c>
    </row>
    <row r="255" spans="2:5" ht="12" customHeight="1" x14ac:dyDescent="0.25">
      <c r="B255" s="564"/>
      <c r="C255" s="562" t="s">
        <v>2120</v>
      </c>
      <c r="D255" s="444" t="s">
        <v>1971</v>
      </c>
      <c r="E255" s="444">
        <v>40</v>
      </c>
    </row>
    <row r="256" spans="2:5" ht="12" customHeight="1" x14ac:dyDescent="0.25">
      <c r="B256" s="564"/>
      <c r="C256" s="562" t="s">
        <v>2122</v>
      </c>
      <c r="D256" s="444" t="s">
        <v>1971</v>
      </c>
      <c r="E256" s="444">
        <v>33</v>
      </c>
    </row>
    <row r="257" spans="2:5" ht="12" customHeight="1" x14ac:dyDescent="0.25">
      <c r="B257" s="564"/>
      <c r="C257" s="562" t="s">
        <v>2051</v>
      </c>
      <c r="D257" s="444" t="s">
        <v>1971</v>
      </c>
      <c r="E257" s="444">
        <v>11042</v>
      </c>
    </row>
    <row r="258" spans="2:5" ht="12" customHeight="1" x14ac:dyDescent="0.25">
      <c r="B258" s="564"/>
      <c r="C258" s="562" t="s">
        <v>2124</v>
      </c>
      <c r="D258" s="444" t="s">
        <v>1971</v>
      </c>
      <c r="E258" s="444">
        <v>110</v>
      </c>
    </row>
    <row r="259" spans="2:5" ht="12" customHeight="1" x14ac:dyDescent="0.25">
      <c r="B259" s="564"/>
      <c r="C259" s="562" t="s">
        <v>2053</v>
      </c>
      <c r="D259" s="444" t="s">
        <v>1971</v>
      </c>
      <c r="E259" s="444">
        <v>1000</v>
      </c>
    </row>
    <row r="260" spans="2:5" ht="12" customHeight="1" x14ac:dyDescent="0.25">
      <c r="B260" s="564"/>
      <c r="C260" s="562" t="s">
        <v>1940</v>
      </c>
      <c r="D260" s="444" t="s">
        <v>1971</v>
      </c>
      <c r="E260" s="444">
        <v>18</v>
      </c>
    </row>
    <row r="261" spans="2:5" ht="12" customHeight="1" x14ac:dyDescent="0.25">
      <c r="B261" s="564"/>
      <c r="C261" s="562" t="s">
        <v>2055</v>
      </c>
      <c r="D261" s="444" t="s">
        <v>1971</v>
      </c>
      <c r="E261" s="444">
        <v>850</v>
      </c>
    </row>
    <row r="262" spans="2:5" ht="12" customHeight="1" x14ac:dyDescent="0.25">
      <c r="B262" s="564"/>
      <c r="C262" s="562" t="s">
        <v>2057</v>
      </c>
      <c r="D262" s="444" t="s">
        <v>1971</v>
      </c>
      <c r="E262" s="444">
        <v>350</v>
      </c>
    </row>
    <row r="263" spans="2:5" ht="12" customHeight="1" x14ac:dyDescent="0.25">
      <c r="B263" s="564"/>
      <c r="C263" s="562" t="s">
        <v>2059</v>
      </c>
      <c r="D263" s="444" t="s">
        <v>1971</v>
      </c>
      <c r="E263" s="444">
        <v>550</v>
      </c>
    </row>
    <row r="264" spans="2:5" ht="12" customHeight="1" x14ac:dyDescent="0.25">
      <c r="B264" s="564"/>
      <c r="C264" s="562" t="s">
        <v>2061</v>
      </c>
      <c r="D264" s="444" t="s">
        <v>1971</v>
      </c>
      <c r="E264" s="444">
        <v>200</v>
      </c>
    </row>
    <row r="265" spans="2:5" ht="12" customHeight="1" x14ac:dyDescent="0.25">
      <c r="B265" s="564"/>
      <c r="C265" s="562" t="s">
        <v>1861</v>
      </c>
      <c r="D265" s="444" t="s">
        <v>1971</v>
      </c>
      <c r="E265" s="444">
        <v>1</v>
      </c>
    </row>
    <row r="266" spans="2:5" ht="12" customHeight="1" x14ac:dyDescent="0.25">
      <c r="B266" s="564"/>
      <c r="C266" s="562" t="s">
        <v>2127</v>
      </c>
      <c r="D266" s="444" t="s">
        <v>1971</v>
      </c>
      <c r="E266" s="444">
        <v>80</v>
      </c>
    </row>
    <row r="267" spans="2:5" ht="12" customHeight="1" x14ac:dyDescent="0.25">
      <c r="B267" s="564"/>
      <c r="C267" s="562" t="s">
        <v>2063</v>
      </c>
      <c r="D267" s="444" t="s">
        <v>1971</v>
      </c>
      <c r="E267" s="444">
        <v>50</v>
      </c>
    </row>
    <row r="268" spans="2:5" ht="12" customHeight="1" x14ac:dyDescent="0.25">
      <c r="B268" s="564"/>
      <c r="C268" s="562" t="s">
        <v>1999</v>
      </c>
      <c r="D268" s="444" t="s">
        <v>1971</v>
      </c>
      <c r="E268" s="444">
        <v>581</v>
      </c>
    </row>
    <row r="269" spans="2:5" ht="12" customHeight="1" x14ac:dyDescent="0.25">
      <c r="B269" s="564"/>
      <c r="C269" s="562" t="s">
        <v>2129</v>
      </c>
      <c r="D269" s="444" t="s">
        <v>1971</v>
      </c>
      <c r="E269" s="444">
        <v>100</v>
      </c>
    </row>
    <row r="270" spans="2:5" ht="12" customHeight="1" x14ac:dyDescent="0.25">
      <c r="B270" s="564"/>
      <c r="C270" s="562" t="s">
        <v>2131</v>
      </c>
      <c r="D270" s="444" t="s">
        <v>1971</v>
      </c>
      <c r="E270" s="444">
        <v>70</v>
      </c>
    </row>
    <row r="271" spans="2:5" ht="12" customHeight="1" x14ac:dyDescent="0.25">
      <c r="B271" s="564"/>
      <c r="C271" s="562" t="s">
        <v>2133</v>
      </c>
      <c r="D271" s="444" t="s">
        <v>1971</v>
      </c>
      <c r="E271" s="444">
        <v>70</v>
      </c>
    </row>
    <row r="272" spans="2:5" ht="12" customHeight="1" x14ac:dyDescent="0.25">
      <c r="B272" s="564"/>
      <c r="C272" s="562" t="s">
        <v>2135</v>
      </c>
      <c r="D272" s="444" t="s">
        <v>1971</v>
      </c>
      <c r="E272" s="444">
        <v>100</v>
      </c>
    </row>
    <row r="273" spans="2:5" ht="12" customHeight="1" x14ac:dyDescent="0.25">
      <c r="B273" s="564"/>
      <c r="C273" s="562" t="s">
        <v>2137</v>
      </c>
      <c r="D273" s="444" t="s">
        <v>1971</v>
      </c>
      <c r="E273" s="444">
        <v>1</v>
      </c>
    </row>
    <row r="274" spans="2:5" ht="12" customHeight="1" x14ac:dyDescent="0.25">
      <c r="B274" s="564"/>
      <c r="C274" s="562" t="s">
        <v>2139</v>
      </c>
      <c r="D274" s="444" t="s">
        <v>1971</v>
      </c>
      <c r="E274" s="444">
        <v>2</v>
      </c>
    </row>
    <row r="275" spans="2:5" ht="12" customHeight="1" x14ac:dyDescent="0.25">
      <c r="B275" s="564"/>
      <c r="C275" s="562" t="s">
        <v>2140</v>
      </c>
      <c r="D275" s="444" t="s">
        <v>1971</v>
      </c>
      <c r="E275" s="444">
        <v>80</v>
      </c>
    </row>
    <row r="276" spans="2:5" ht="12" customHeight="1" x14ac:dyDescent="0.25">
      <c r="B276" s="564"/>
      <c r="C276" s="562" t="s">
        <v>2001</v>
      </c>
      <c r="D276" s="444" t="s">
        <v>1971</v>
      </c>
      <c r="E276" s="444">
        <v>297</v>
      </c>
    </row>
    <row r="277" spans="2:5" ht="12" customHeight="1" x14ac:dyDescent="0.25">
      <c r="B277" s="564"/>
      <c r="C277" s="562" t="s">
        <v>2065</v>
      </c>
      <c r="D277" s="444" t="s">
        <v>1971</v>
      </c>
      <c r="E277" s="444">
        <v>380</v>
      </c>
    </row>
    <row r="278" spans="2:5" ht="12" customHeight="1" x14ac:dyDescent="0.25">
      <c r="B278" s="564"/>
      <c r="C278" s="562" t="s">
        <v>2003</v>
      </c>
      <c r="D278" s="444" t="s">
        <v>1971</v>
      </c>
      <c r="E278" s="444">
        <v>400</v>
      </c>
    </row>
    <row r="279" spans="2:5" ht="12" customHeight="1" x14ac:dyDescent="0.25">
      <c r="B279" s="564"/>
      <c r="C279" s="562" t="s">
        <v>1613</v>
      </c>
      <c r="D279" s="444" t="s">
        <v>1971</v>
      </c>
      <c r="E279" s="444">
        <v>16</v>
      </c>
    </row>
    <row r="280" spans="2:5" ht="12" customHeight="1" x14ac:dyDescent="0.25">
      <c r="B280" s="564"/>
      <c r="C280" s="562" t="s">
        <v>2142</v>
      </c>
      <c r="D280" s="444" t="s">
        <v>1971</v>
      </c>
      <c r="E280" s="444">
        <v>14</v>
      </c>
    </row>
    <row r="281" spans="2:5" ht="12" customHeight="1" x14ac:dyDescent="0.25">
      <c r="B281" s="564"/>
      <c r="C281" s="562" t="s">
        <v>2005</v>
      </c>
      <c r="D281" s="444" t="s">
        <v>1971</v>
      </c>
      <c r="E281" s="444">
        <v>3808.5</v>
      </c>
    </row>
    <row r="282" spans="2:5" ht="12" customHeight="1" x14ac:dyDescent="0.25">
      <c r="B282" s="565"/>
      <c r="C282" s="562" t="s">
        <v>2068</v>
      </c>
      <c r="D282" s="444" t="s">
        <v>1971</v>
      </c>
      <c r="E282" s="444">
        <v>50</v>
      </c>
    </row>
    <row r="283" spans="2:5" ht="12" customHeight="1" x14ac:dyDescent="0.25">
      <c r="B283" s="563" t="s">
        <v>2144</v>
      </c>
      <c r="C283" s="562" t="s">
        <v>1034</v>
      </c>
      <c r="D283" s="444" t="s">
        <v>1971</v>
      </c>
      <c r="E283" s="444">
        <v>11065</v>
      </c>
    </row>
    <row r="284" spans="2:5" ht="12" customHeight="1" x14ac:dyDescent="0.25">
      <c r="B284" s="564"/>
      <c r="C284" s="562"/>
      <c r="D284" s="444" t="s">
        <v>280</v>
      </c>
      <c r="E284" s="444">
        <v>5670</v>
      </c>
    </row>
    <row r="285" spans="2:5" ht="12" customHeight="1" x14ac:dyDescent="0.25">
      <c r="B285" s="565"/>
      <c r="C285" s="562" t="s">
        <v>1402</v>
      </c>
      <c r="D285" s="444" t="s">
        <v>280</v>
      </c>
      <c r="E285" s="444">
        <v>11</v>
      </c>
    </row>
    <row r="286" spans="2:5" ht="12" customHeight="1" x14ac:dyDescent="0.25">
      <c r="B286" s="561" t="s">
        <v>2158</v>
      </c>
      <c r="C286" s="562" t="s">
        <v>1402</v>
      </c>
      <c r="D286" s="444" t="s">
        <v>1971</v>
      </c>
      <c r="E286" s="444">
        <v>507903.87</v>
      </c>
    </row>
    <row r="287" spans="2:5" ht="12" customHeight="1" x14ac:dyDescent="0.25">
      <c r="B287" s="563" t="s">
        <v>1994</v>
      </c>
      <c r="C287" s="562" t="s">
        <v>1936</v>
      </c>
      <c r="D287" s="444" t="s">
        <v>1971</v>
      </c>
      <c r="E287" s="444">
        <v>200987</v>
      </c>
    </row>
    <row r="288" spans="2:5" ht="12" customHeight="1" x14ac:dyDescent="0.25">
      <c r="B288" s="564"/>
      <c r="C288" s="562" t="s">
        <v>2146</v>
      </c>
      <c r="D288" s="444" t="s">
        <v>1971</v>
      </c>
      <c r="E288" s="444">
        <v>252</v>
      </c>
    </row>
    <row r="289" spans="2:5" ht="12" customHeight="1" x14ac:dyDescent="0.25">
      <c r="B289" s="565"/>
      <c r="C289" s="562" t="s">
        <v>2148</v>
      </c>
      <c r="D289" s="444" t="s">
        <v>1971</v>
      </c>
      <c r="E289" s="444">
        <v>60</v>
      </c>
    </row>
    <row r="290" spans="2:5" ht="12" customHeight="1" x14ac:dyDescent="0.25">
      <c r="B290" s="561" t="s">
        <v>2007</v>
      </c>
      <c r="C290" s="562" t="s">
        <v>1969</v>
      </c>
      <c r="D290" s="444" t="s">
        <v>1971</v>
      </c>
      <c r="E290" s="444">
        <v>210000</v>
      </c>
    </row>
    <row r="291" spans="2:5" ht="12" customHeight="1" x14ac:dyDescent="0.25">
      <c r="B291" s="561" t="s">
        <v>1968</v>
      </c>
      <c r="C291" s="562" t="s">
        <v>1969</v>
      </c>
      <c r="D291" s="444" t="s">
        <v>1971</v>
      </c>
      <c r="E291" s="444">
        <v>1925505</v>
      </c>
    </row>
    <row r="292" spans="2:5" ht="12" customHeight="1" x14ac:dyDescent="0.25">
      <c r="B292" s="561" t="s">
        <v>1972</v>
      </c>
      <c r="C292" s="562" t="s">
        <v>1969</v>
      </c>
      <c r="D292" s="444" t="s">
        <v>1971</v>
      </c>
      <c r="E292" s="444">
        <v>32108336.854999997</v>
      </c>
    </row>
    <row r="293" spans="2:5" ht="12" customHeight="1" x14ac:dyDescent="0.25">
      <c r="B293" s="561" t="s">
        <v>1986</v>
      </c>
      <c r="C293" s="562" t="s">
        <v>1986</v>
      </c>
      <c r="D293" s="444" t="s">
        <v>1971</v>
      </c>
      <c r="E293" s="444">
        <v>684350</v>
      </c>
    </row>
    <row r="294" spans="2:5" ht="12" customHeight="1" x14ac:dyDescent="0.25">
      <c r="B294" s="561" t="s">
        <v>2076</v>
      </c>
      <c r="C294" s="562" t="s">
        <v>2076</v>
      </c>
      <c r="D294" s="444" t="s">
        <v>1971</v>
      </c>
      <c r="E294" s="444">
        <v>458570</v>
      </c>
    </row>
    <row r="295" spans="2:5" ht="12" customHeight="1" x14ac:dyDescent="0.25">
      <c r="B295" s="18" t="s">
        <v>81</v>
      </c>
      <c r="C295" s="18"/>
      <c r="D295" s="52"/>
      <c r="E295" s="51"/>
    </row>
  </sheetData>
  <mergeCells count="7">
    <mergeCell ref="B190:B192"/>
    <mergeCell ref="B194:B195"/>
    <mergeCell ref="B207:B282"/>
    <mergeCell ref="B287:B289"/>
    <mergeCell ref="B283:B285"/>
    <mergeCell ref="B201:B203"/>
    <mergeCell ref="B204:B205"/>
  </mergeCells>
  <hyperlinks>
    <hyperlink ref="A1" location="INDICE!A1" display="(Ir al Índice)" xr:uid="{61978B9C-FFF0-4DD7-A99C-3C443668C761}"/>
  </hyperlinks>
  <printOptions horizontalCentered="1"/>
  <pageMargins left="0.78740157480314965" right="0.78740157480314965" top="0.78740157480314965" bottom="0.78740157480314965" header="0" footer="0"/>
  <pageSetup paperSize="9" orientation="portrait"/>
  <headerFooter>
    <oddFooter>&amp;R&amp;P+42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/>
  </sheetPr>
  <dimension ref="A1:I64"/>
  <sheetViews>
    <sheetView showGridLines="0" zoomScale="89" zoomScaleNormal="89" workbookViewId="0">
      <selection activeCell="N38" sqref="N38"/>
    </sheetView>
  </sheetViews>
  <sheetFormatPr baseColWidth="10" defaultColWidth="14.42578125" defaultRowHeight="15" customHeight="1" x14ac:dyDescent="0.25"/>
  <cols>
    <col min="1" max="1" width="4.28515625" customWidth="1"/>
    <col min="2" max="2" width="24.85546875" customWidth="1"/>
    <col min="3" max="3" width="17.85546875" customWidth="1"/>
    <col min="4" max="4" width="16.7109375" customWidth="1"/>
    <col min="5" max="5" width="25" customWidth="1"/>
    <col min="6" max="6" width="17.5703125" customWidth="1"/>
    <col min="7" max="7" width="21" customWidth="1"/>
    <col min="8" max="8" width="24.140625" customWidth="1"/>
    <col min="9" max="9" width="19.42578125" customWidth="1"/>
    <col min="10" max="10" width="24.85546875" customWidth="1"/>
    <col min="11" max="26" width="10.28515625" customWidth="1"/>
  </cols>
  <sheetData>
    <row r="1" spans="1:9" x14ac:dyDescent="0.25">
      <c r="A1" s="78" t="s">
        <v>43</v>
      </c>
      <c r="B1" s="1"/>
      <c r="C1" s="1"/>
      <c r="D1" s="67"/>
      <c r="E1" s="2"/>
      <c r="F1" s="1"/>
      <c r="G1" s="1"/>
      <c r="H1" s="67"/>
      <c r="I1" s="67"/>
    </row>
    <row r="2" spans="1:9" x14ac:dyDescent="0.25">
      <c r="A2" s="5"/>
      <c r="B2" s="1"/>
      <c r="C2" s="1"/>
      <c r="D2" s="67"/>
      <c r="E2" s="2"/>
      <c r="F2" s="1"/>
      <c r="G2" s="1"/>
      <c r="H2" s="67"/>
      <c r="I2" s="67"/>
    </row>
    <row r="3" spans="1:9" x14ac:dyDescent="0.25">
      <c r="B3" s="4" t="s">
        <v>31</v>
      </c>
      <c r="C3" s="1"/>
      <c r="D3" s="1"/>
      <c r="E3" s="2"/>
      <c r="F3" s="1"/>
      <c r="G3" s="1"/>
      <c r="H3" s="67"/>
      <c r="I3" s="67"/>
    </row>
    <row r="4" spans="1:9" x14ac:dyDescent="0.25">
      <c r="B4" s="4"/>
      <c r="C4" s="1"/>
      <c r="D4" s="1"/>
      <c r="E4" s="2"/>
      <c r="F4" s="1"/>
      <c r="G4" s="1"/>
      <c r="H4" s="67"/>
      <c r="I4" s="67"/>
    </row>
    <row r="5" spans="1:9" x14ac:dyDescent="0.25">
      <c r="B5" s="4" t="s">
        <v>32</v>
      </c>
      <c r="C5" s="1"/>
      <c r="D5" s="1"/>
      <c r="E5" s="2"/>
      <c r="F5" s="1"/>
      <c r="G5" s="1"/>
      <c r="H5" s="67"/>
      <c r="I5" s="15" t="s">
        <v>580</v>
      </c>
    </row>
    <row r="6" spans="1:9" x14ac:dyDescent="0.25">
      <c r="B6" s="1"/>
      <c r="C6" s="1"/>
      <c r="D6" s="67"/>
      <c r="E6" s="2"/>
      <c r="F6" s="1"/>
      <c r="G6" s="1"/>
      <c r="H6" s="67"/>
      <c r="I6" s="22" t="s">
        <v>2169</v>
      </c>
    </row>
    <row r="7" spans="1:9" x14ac:dyDescent="0.25">
      <c r="B7" s="19" t="s">
        <v>2219</v>
      </c>
      <c r="C7" s="67"/>
      <c r="D7" s="2"/>
      <c r="E7" s="1"/>
      <c r="F7" s="1"/>
      <c r="G7" s="67"/>
      <c r="H7" s="67"/>
      <c r="I7" s="67"/>
    </row>
    <row r="8" spans="1:9" x14ac:dyDescent="0.25">
      <c r="B8" s="570" t="s">
        <v>44</v>
      </c>
      <c r="C8" s="570" t="s">
        <v>284</v>
      </c>
      <c r="D8" s="571"/>
      <c r="E8" s="571"/>
      <c r="F8" s="570" t="s">
        <v>45</v>
      </c>
      <c r="G8" s="571"/>
      <c r="H8" s="67"/>
      <c r="I8" s="67"/>
    </row>
    <row r="9" spans="1:9" ht="30" customHeight="1" x14ac:dyDescent="0.25">
      <c r="B9" s="571"/>
      <c r="C9" s="572" t="s">
        <v>285</v>
      </c>
      <c r="D9" s="572" t="s">
        <v>286</v>
      </c>
      <c r="E9" s="573" t="s">
        <v>287</v>
      </c>
      <c r="F9" s="572" t="s">
        <v>288</v>
      </c>
      <c r="G9" s="574" t="s">
        <v>238</v>
      </c>
      <c r="H9" s="67"/>
      <c r="I9" s="67"/>
    </row>
    <row r="10" spans="1:9" x14ac:dyDescent="0.25">
      <c r="A10" s="31"/>
      <c r="B10" s="339" t="s">
        <v>68</v>
      </c>
      <c r="C10" s="575">
        <v>5</v>
      </c>
      <c r="D10" s="575"/>
      <c r="E10" s="575"/>
      <c r="F10" s="575">
        <f t="shared" ref="F10:F16" si="0">+SUM(C10:E10)</f>
        <v>5</v>
      </c>
      <c r="G10" s="576">
        <v>3461.5643</v>
      </c>
      <c r="H10" s="67"/>
      <c r="I10" s="67"/>
    </row>
    <row r="11" spans="1:9" x14ac:dyDescent="0.25">
      <c r="A11" s="31"/>
      <c r="B11" s="339" t="s">
        <v>58</v>
      </c>
      <c r="C11" s="575">
        <v>22</v>
      </c>
      <c r="D11" s="575"/>
      <c r="E11" s="575">
        <v>4</v>
      </c>
      <c r="F11" s="575">
        <f t="shared" si="0"/>
        <v>26</v>
      </c>
      <c r="G11" s="576">
        <v>255809.59460000001</v>
      </c>
      <c r="H11" s="67"/>
      <c r="I11" s="67"/>
    </row>
    <row r="12" spans="1:9" x14ac:dyDescent="0.25">
      <c r="A12" s="31"/>
      <c r="B12" s="339" t="s">
        <v>69</v>
      </c>
      <c r="C12" s="575">
        <v>4</v>
      </c>
      <c r="D12" s="575">
        <v>1</v>
      </c>
      <c r="E12" s="575"/>
      <c r="F12" s="575">
        <f t="shared" si="0"/>
        <v>5</v>
      </c>
      <c r="G12" s="576">
        <v>5710.8780999999999</v>
      </c>
      <c r="H12" s="67"/>
      <c r="I12" s="67"/>
    </row>
    <row r="13" spans="1:9" x14ac:dyDescent="0.25">
      <c r="A13" s="31"/>
      <c r="B13" s="339" t="s">
        <v>59</v>
      </c>
      <c r="C13" s="575">
        <v>1</v>
      </c>
      <c r="D13" s="575"/>
      <c r="E13" s="575"/>
      <c r="F13" s="575">
        <f t="shared" si="0"/>
        <v>1</v>
      </c>
      <c r="G13" s="576">
        <v>610.27</v>
      </c>
      <c r="H13" s="67"/>
      <c r="I13" s="67"/>
    </row>
    <row r="14" spans="1:9" x14ac:dyDescent="0.25">
      <c r="A14" s="31"/>
      <c r="B14" s="339" t="s">
        <v>60</v>
      </c>
      <c r="C14" s="575">
        <v>2</v>
      </c>
      <c r="D14" s="575">
        <v>1</v>
      </c>
      <c r="E14" s="575"/>
      <c r="F14" s="575">
        <f t="shared" si="0"/>
        <v>3</v>
      </c>
      <c r="G14" s="576">
        <v>2940.3</v>
      </c>
      <c r="H14" s="67"/>
      <c r="I14" s="67"/>
    </row>
    <row r="15" spans="1:9" x14ac:dyDescent="0.25">
      <c r="A15" s="31"/>
      <c r="B15" s="339" t="s">
        <v>76</v>
      </c>
      <c r="C15" s="575">
        <v>5</v>
      </c>
      <c r="D15" s="575"/>
      <c r="E15" s="575"/>
      <c r="F15" s="575">
        <f t="shared" si="0"/>
        <v>5</v>
      </c>
      <c r="G15" s="576">
        <v>26985.694100000001</v>
      </c>
      <c r="H15" s="67"/>
      <c r="I15" s="67"/>
    </row>
    <row r="16" spans="1:9" x14ac:dyDescent="0.25">
      <c r="A16" s="31"/>
      <c r="B16" s="339" t="s">
        <v>79</v>
      </c>
      <c r="C16" s="575">
        <v>5</v>
      </c>
      <c r="D16" s="575"/>
      <c r="E16" s="575">
        <v>2</v>
      </c>
      <c r="F16" s="575">
        <f t="shared" si="0"/>
        <v>7</v>
      </c>
      <c r="G16" s="576">
        <v>14513.250400000001</v>
      </c>
      <c r="H16" s="67"/>
      <c r="I16" s="67"/>
    </row>
    <row r="17" spans="2:8" x14ac:dyDescent="0.25">
      <c r="B17" s="577" t="s">
        <v>45</v>
      </c>
      <c r="C17" s="578">
        <f>+SUM(C10:C16)</f>
        <v>44</v>
      </c>
      <c r="D17" s="578">
        <f>+SUM(D10:D16)</f>
        <v>2</v>
      </c>
      <c r="E17" s="578">
        <f>+SUM(E10:E16)</f>
        <v>6</v>
      </c>
      <c r="F17" s="578">
        <f>+SUM(F10:F16)</f>
        <v>52</v>
      </c>
      <c r="G17" s="579">
        <f>+SUM(G10:G16)</f>
        <v>310031.55150000006</v>
      </c>
      <c r="H17" s="67"/>
    </row>
    <row r="18" spans="2:8" x14ac:dyDescent="0.25">
      <c r="B18" s="13" t="s">
        <v>289</v>
      </c>
      <c r="C18" s="1"/>
      <c r="D18" s="67"/>
      <c r="E18" s="2"/>
      <c r="F18" s="1"/>
      <c r="G18" s="1"/>
      <c r="H18" s="1"/>
    </row>
    <row r="19" spans="2:8" x14ac:dyDescent="0.25">
      <c r="B19" s="1"/>
      <c r="C19" s="1"/>
      <c r="D19" s="67"/>
      <c r="E19" s="2"/>
      <c r="F19" s="1"/>
      <c r="G19" s="1"/>
      <c r="H19" s="67"/>
    </row>
    <row r="20" spans="2:8" ht="15.75" customHeight="1" x14ac:dyDescent="0.25">
      <c r="B20" s="1"/>
      <c r="C20" s="1"/>
      <c r="D20" s="67"/>
      <c r="E20" s="2"/>
      <c r="F20" s="1"/>
      <c r="G20" s="1"/>
      <c r="H20" s="67"/>
    </row>
    <row r="21" spans="2:8" ht="15.75" customHeight="1" x14ac:dyDescent="0.25">
      <c r="B21" s="1"/>
      <c r="C21" s="1"/>
      <c r="D21" s="67"/>
      <c r="E21" s="2"/>
      <c r="F21" s="1"/>
      <c r="G21" s="1"/>
      <c r="H21" s="67"/>
    </row>
    <row r="22" spans="2:8" ht="15.75" customHeight="1" x14ac:dyDescent="0.25">
      <c r="B22" s="1"/>
      <c r="C22" s="1"/>
      <c r="D22" s="67"/>
      <c r="E22" s="2"/>
      <c r="F22" s="1"/>
      <c r="G22" s="1"/>
      <c r="H22" s="67"/>
    </row>
    <row r="23" spans="2:8" ht="15.75" customHeight="1" x14ac:dyDescent="0.25">
      <c r="B23" s="1"/>
      <c r="C23" s="1"/>
      <c r="D23" s="67"/>
      <c r="E23" s="2"/>
      <c r="F23" s="1"/>
      <c r="G23" s="1"/>
      <c r="H23" s="67"/>
    </row>
    <row r="24" spans="2:8" ht="15.75" customHeight="1" x14ac:dyDescent="0.25">
      <c r="B24" s="1"/>
      <c r="C24" s="1"/>
      <c r="D24" s="67"/>
      <c r="E24" s="2"/>
      <c r="F24" s="1"/>
      <c r="G24" s="1"/>
      <c r="H24" s="67"/>
    </row>
    <row r="25" spans="2:8" ht="15.75" customHeight="1" x14ac:dyDescent="0.25">
      <c r="B25" s="1"/>
      <c r="C25" s="1"/>
      <c r="D25" s="67"/>
      <c r="E25" s="2"/>
      <c r="F25" s="1"/>
      <c r="G25" s="1"/>
      <c r="H25" s="67"/>
    </row>
    <row r="26" spans="2:8" ht="15.75" customHeight="1" x14ac:dyDescent="0.25">
      <c r="B26" s="1"/>
      <c r="C26" s="1"/>
      <c r="D26" s="67"/>
      <c r="E26" s="2"/>
      <c r="F26" s="1"/>
      <c r="G26" s="1"/>
      <c r="H26" s="67"/>
    </row>
    <row r="27" spans="2:8" ht="15.75" customHeight="1" x14ac:dyDescent="0.25">
      <c r="B27" s="1"/>
      <c r="C27" s="1"/>
      <c r="D27" s="67"/>
      <c r="E27" s="2"/>
      <c r="F27" s="1"/>
      <c r="G27" s="1"/>
      <c r="H27" s="67"/>
    </row>
    <row r="28" spans="2:8" ht="15.75" customHeight="1" x14ac:dyDescent="0.25">
      <c r="B28" s="1"/>
      <c r="C28" s="1"/>
      <c r="D28" s="1"/>
      <c r="E28" s="1"/>
      <c r="F28" s="1"/>
      <c r="G28" s="1"/>
      <c r="H28" s="1"/>
    </row>
    <row r="29" spans="2:8" ht="15.75" customHeight="1" x14ac:dyDescent="0.25">
      <c r="B29" s="19" t="s">
        <v>2220</v>
      </c>
      <c r="C29" s="31"/>
      <c r="D29" s="12"/>
      <c r="E29" s="62"/>
      <c r="F29" s="31"/>
      <c r="G29" s="31"/>
      <c r="H29" s="12"/>
    </row>
    <row r="30" spans="2:8" ht="30" customHeight="1" x14ac:dyDescent="0.25">
      <c r="B30" s="580" t="s">
        <v>2170</v>
      </c>
      <c r="C30" s="580" t="s">
        <v>776</v>
      </c>
      <c r="D30" s="580" t="s">
        <v>2171</v>
      </c>
      <c r="E30" s="580" t="s">
        <v>2172</v>
      </c>
      <c r="F30" s="580" t="s">
        <v>2173</v>
      </c>
      <c r="G30" s="580" t="s">
        <v>2174</v>
      </c>
      <c r="H30" s="580" t="s">
        <v>2175</v>
      </c>
    </row>
    <row r="31" spans="2:8" x14ac:dyDescent="0.25">
      <c r="B31" s="568" t="s">
        <v>2176</v>
      </c>
      <c r="C31" s="568" t="s">
        <v>691</v>
      </c>
      <c r="D31" s="568" t="s">
        <v>691</v>
      </c>
      <c r="E31" s="568" t="s">
        <v>2177</v>
      </c>
      <c r="F31" s="569">
        <v>7</v>
      </c>
      <c r="G31" s="566">
        <v>84487.65</v>
      </c>
      <c r="H31" s="567">
        <v>5733</v>
      </c>
    </row>
    <row r="32" spans="2:8" x14ac:dyDescent="0.25">
      <c r="B32" s="568" t="s">
        <v>2176</v>
      </c>
      <c r="C32" s="568" t="s">
        <v>691</v>
      </c>
      <c r="D32" s="568" t="s">
        <v>691</v>
      </c>
      <c r="E32" s="568" t="s">
        <v>2178</v>
      </c>
      <c r="F32" s="569">
        <v>1</v>
      </c>
      <c r="G32" s="566">
        <v>41749.120000000003</v>
      </c>
      <c r="H32" s="567">
        <v>1551</v>
      </c>
    </row>
    <row r="33" spans="2:8" x14ac:dyDescent="0.25">
      <c r="B33" s="568" t="s">
        <v>2176</v>
      </c>
      <c r="C33" s="568" t="s">
        <v>691</v>
      </c>
      <c r="D33" s="568" t="s">
        <v>2179</v>
      </c>
      <c r="E33" s="568" t="s">
        <v>2180</v>
      </c>
      <c r="F33" s="569">
        <v>6</v>
      </c>
      <c r="G33" s="566">
        <v>67219.75</v>
      </c>
      <c r="H33" s="567">
        <v>3042</v>
      </c>
    </row>
    <row r="34" spans="2:8" x14ac:dyDescent="0.25">
      <c r="B34" s="568" t="s">
        <v>2176</v>
      </c>
      <c r="C34" s="568" t="s">
        <v>691</v>
      </c>
      <c r="D34" s="568" t="s">
        <v>2179</v>
      </c>
      <c r="E34" s="568" t="s">
        <v>2181</v>
      </c>
      <c r="F34" s="569">
        <v>3</v>
      </c>
      <c r="G34" s="566">
        <v>14662.57</v>
      </c>
      <c r="H34" s="567">
        <v>833</v>
      </c>
    </row>
    <row r="35" spans="2:8" x14ac:dyDescent="0.25">
      <c r="B35" s="568" t="s">
        <v>2176</v>
      </c>
      <c r="C35" s="568" t="s">
        <v>693</v>
      </c>
      <c r="D35" s="568" t="s">
        <v>693</v>
      </c>
      <c r="E35" s="568" t="s">
        <v>2182</v>
      </c>
      <c r="F35" s="569">
        <v>1</v>
      </c>
      <c r="G35" s="566">
        <v>610.27</v>
      </c>
      <c r="H35" s="567">
        <v>0</v>
      </c>
    </row>
    <row r="36" spans="2:8" ht="21" x14ac:dyDescent="0.25">
      <c r="B36" s="568" t="s">
        <v>2176</v>
      </c>
      <c r="C36" s="568" t="s">
        <v>705</v>
      </c>
      <c r="D36" s="568" t="s">
        <v>2183</v>
      </c>
      <c r="E36" s="568" t="s">
        <v>2184</v>
      </c>
      <c r="F36" s="569">
        <v>2</v>
      </c>
      <c r="G36" s="566">
        <v>13440.41</v>
      </c>
      <c r="H36" s="567">
        <v>0</v>
      </c>
    </row>
    <row r="37" spans="2:8" ht="21" x14ac:dyDescent="0.25">
      <c r="B37" s="568" t="s">
        <v>2185</v>
      </c>
      <c r="C37" s="568" t="s">
        <v>690</v>
      </c>
      <c r="D37" s="568" t="s">
        <v>2186</v>
      </c>
      <c r="E37" s="568" t="s">
        <v>2187</v>
      </c>
      <c r="F37" s="569">
        <v>1</v>
      </c>
      <c r="G37" s="566">
        <v>471.14</v>
      </c>
      <c r="H37" s="567">
        <v>91</v>
      </c>
    </row>
    <row r="38" spans="2:8" ht="21" x14ac:dyDescent="0.25">
      <c r="B38" s="568" t="s">
        <v>2185</v>
      </c>
      <c r="C38" s="568" t="s">
        <v>690</v>
      </c>
      <c r="D38" s="568" t="s">
        <v>2188</v>
      </c>
      <c r="E38" s="568" t="s">
        <v>2189</v>
      </c>
      <c r="F38" s="569">
        <v>1</v>
      </c>
      <c r="G38" s="566">
        <v>1259.39375</v>
      </c>
      <c r="H38" s="567">
        <v>61</v>
      </c>
    </row>
    <row r="39" spans="2:8" ht="21" x14ac:dyDescent="0.25">
      <c r="B39" s="568" t="s">
        <v>2185</v>
      </c>
      <c r="C39" s="568" t="s">
        <v>690</v>
      </c>
      <c r="D39" s="568" t="s">
        <v>2188</v>
      </c>
      <c r="E39" s="568" t="s">
        <v>2190</v>
      </c>
      <c r="F39" s="569">
        <v>1</v>
      </c>
      <c r="G39" s="566">
        <v>642.08370000000002</v>
      </c>
      <c r="H39" s="567">
        <v>60</v>
      </c>
    </row>
    <row r="40" spans="2:8" ht="21" x14ac:dyDescent="0.25">
      <c r="B40" s="568" t="s">
        <v>2185</v>
      </c>
      <c r="C40" s="568" t="s">
        <v>690</v>
      </c>
      <c r="D40" s="568" t="s">
        <v>2191</v>
      </c>
      <c r="E40" s="568" t="s">
        <v>2192</v>
      </c>
      <c r="F40" s="569">
        <v>1</v>
      </c>
      <c r="G40" s="566">
        <v>491.48</v>
      </c>
      <c r="H40" s="567">
        <v>20</v>
      </c>
    </row>
    <row r="41" spans="2:8" ht="21" x14ac:dyDescent="0.25">
      <c r="B41" s="568" t="s">
        <v>2185</v>
      </c>
      <c r="C41" s="568" t="s">
        <v>690</v>
      </c>
      <c r="D41" s="568" t="s">
        <v>2191</v>
      </c>
      <c r="E41" s="568" t="s">
        <v>2193</v>
      </c>
      <c r="F41" s="569">
        <v>1</v>
      </c>
      <c r="G41" s="566">
        <v>597.46685000000002</v>
      </c>
      <c r="H41" s="567">
        <v>52</v>
      </c>
    </row>
    <row r="42" spans="2:8" ht="21" x14ac:dyDescent="0.25">
      <c r="B42" s="568" t="s">
        <v>2185</v>
      </c>
      <c r="C42" s="568" t="s">
        <v>691</v>
      </c>
      <c r="D42" s="568" t="s">
        <v>691</v>
      </c>
      <c r="E42" s="568" t="s">
        <v>2177</v>
      </c>
      <c r="F42" s="569">
        <v>1</v>
      </c>
      <c r="G42" s="566">
        <v>6234.2284</v>
      </c>
      <c r="H42" s="567">
        <v>185</v>
      </c>
    </row>
    <row r="43" spans="2:8" ht="21" x14ac:dyDescent="0.25">
      <c r="B43" s="568" t="s">
        <v>2185</v>
      </c>
      <c r="C43" s="568" t="s">
        <v>691</v>
      </c>
      <c r="D43" s="568" t="s">
        <v>2194</v>
      </c>
      <c r="E43" s="568" t="s">
        <v>2195</v>
      </c>
      <c r="F43" s="569">
        <v>1</v>
      </c>
      <c r="G43" s="566">
        <v>485.66640000000001</v>
      </c>
      <c r="H43" s="567">
        <v>200</v>
      </c>
    </row>
    <row r="44" spans="2:8" ht="21" x14ac:dyDescent="0.25">
      <c r="B44" s="568" t="s">
        <v>2185</v>
      </c>
      <c r="C44" s="568" t="s">
        <v>691</v>
      </c>
      <c r="D44" s="568" t="s">
        <v>2179</v>
      </c>
      <c r="E44" s="568" t="s">
        <v>2179</v>
      </c>
      <c r="F44" s="569">
        <v>2</v>
      </c>
      <c r="G44" s="566">
        <v>1231.3728000000001</v>
      </c>
      <c r="H44" s="567">
        <v>738</v>
      </c>
    </row>
    <row r="45" spans="2:8" ht="21" x14ac:dyDescent="0.25">
      <c r="B45" s="568" t="s">
        <v>2185</v>
      </c>
      <c r="C45" s="568" t="s">
        <v>691</v>
      </c>
      <c r="D45" s="568" t="s">
        <v>2179</v>
      </c>
      <c r="E45" s="568" t="s">
        <v>2180</v>
      </c>
      <c r="F45" s="569">
        <v>1</v>
      </c>
      <c r="G45" s="566">
        <v>2004.6079</v>
      </c>
      <c r="H45" s="567">
        <v>476</v>
      </c>
    </row>
    <row r="46" spans="2:8" ht="21" x14ac:dyDescent="0.25">
      <c r="B46" s="568" t="s">
        <v>2185</v>
      </c>
      <c r="C46" s="568" t="s">
        <v>691</v>
      </c>
      <c r="D46" s="568" t="s">
        <v>2179</v>
      </c>
      <c r="E46" s="568" t="s">
        <v>2196</v>
      </c>
      <c r="F46" s="569">
        <v>2</v>
      </c>
      <c r="G46" s="566">
        <v>2487.8211000000001</v>
      </c>
      <c r="H46" s="567">
        <v>823</v>
      </c>
    </row>
    <row r="47" spans="2:8" ht="21" x14ac:dyDescent="0.25">
      <c r="B47" s="568" t="s">
        <v>2185</v>
      </c>
      <c r="C47" s="568" t="s">
        <v>691</v>
      </c>
      <c r="D47" s="568" t="s">
        <v>2179</v>
      </c>
      <c r="E47" s="568" t="s">
        <v>2181</v>
      </c>
      <c r="F47" s="569">
        <v>1</v>
      </c>
      <c r="G47" s="566">
        <v>2740.9087</v>
      </c>
      <c r="H47" s="567">
        <v>647</v>
      </c>
    </row>
    <row r="48" spans="2:8" ht="21" x14ac:dyDescent="0.25">
      <c r="B48" s="568" t="s">
        <v>2185</v>
      </c>
      <c r="C48" s="568" t="s">
        <v>691</v>
      </c>
      <c r="D48" s="568" t="s">
        <v>2197</v>
      </c>
      <c r="E48" s="568" t="s">
        <v>2198</v>
      </c>
      <c r="F48" s="569">
        <v>1</v>
      </c>
      <c r="G48" s="566">
        <v>32505.899300000001</v>
      </c>
      <c r="H48" s="567">
        <v>1352</v>
      </c>
    </row>
    <row r="49" spans="2:8" ht="15.75" customHeight="1" x14ac:dyDescent="0.25">
      <c r="B49" s="568" t="s">
        <v>2185</v>
      </c>
      <c r="C49" s="568" t="s">
        <v>692</v>
      </c>
      <c r="D49" s="568" t="s">
        <v>2199</v>
      </c>
      <c r="E49" s="568" t="s">
        <v>2200</v>
      </c>
      <c r="F49" s="569">
        <v>1</v>
      </c>
      <c r="G49" s="566">
        <v>846.16099999999994</v>
      </c>
      <c r="H49" s="567">
        <v>255</v>
      </c>
    </row>
    <row r="50" spans="2:8" ht="15.75" customHeight="1" x14ac:dyDescent="0.25">
      <c r="B50" s="568" t="s">
        <v>2185</v>
      </c>
      <c r="C50" s="568" t="s">
        <v>692</v>
      </c>
      <c r="D50" s="568" t="s">
        <v>2199</v>
      </c>
      <c r="E50" s="568" t="s">
        <v>2199</v>
      </c>
      <c r="F50" s="569">
        <v>1</v>
      </c>
      <c r="G50" s="566">
        <v>496.36399999999998</v>
      </c>
      <c r="H50" s="567">
        <v>201</v>
      </c>
    </row>
    <row r="51" spans="2:8" ht="15" customHeight="1" x14ac:dyDescent="0.25">
      <c r="B51" s="568" t="s">
        <v>2185</v>
      </c>
      <c r="C51" s="568" t="s">
        <v>692</v>
      </c>
      <c r="D51" s="568" t="s">
        <v>2199</v>
      </c>
      <c r="E51" s="568" t="s">
        <v>2201</v>
      </c>
      <c r="F51" s="569">
        <v>1</v>
      </c>
      <c r="G51" s="566">
        <v>1045.6369999999999</v>
      </c>
      <c r="H51" s="567">
        <v>41</v>
      </c>
    </row>
    <row r="52" spans="2:8" ht="15" customHeight="1" x14ac:dyDescent="0.25">
      <c r="B52" s="568" t="s">
        <v>2185</v>
      </c>
      <c r="C52" s="568" t="s">
        <v>692</v>
      </c>
      <c r="D52" s="568" t="s">
        <v>2199</v>
      </c>
      <c r="E52" s="568" t="s">
        <v>2202</v>
      </c>
      <c r="F52" s="569">
        <v>1</v>
      </c>
      <c r="G52" s="566">
        <v>1324.711</v>
      </c>
      <c r="H52" s="567">
        <v>40</v>
      </c>
    </row>
    <row r="53" spans="2:8" ht="15" customHeight="1" x14ac:dyDescent="0.25">
      <c r="B53" s="568" t="s">
        <v>2185</v>
      </c>
      <c r="C53" s="568" t="s">
        <v>692</v>
      </c>
      <c r="D53" s="568" t="s">
        <v>2203</v>
      </c>
      <c r="E53" s="568" t="s">
        <v>2204</v>
      </c>
      <c r="F53" s="569">
        <v>1</v>
      </c>
      <c r="G53" s="566">
        <v>1998</v>
      </c>
      <c r="H53" s="567">
        <v>428</v>
      </c>
    </row>
    <row r="54" spans="2:8" ht="15" customHeight="1" x14ac:dyDescent="0.25">
      <c r="B54" s="568" t="s">
        <v>2185</v>
      </c>
      <c r="C54" s="568" t="s">
        <v>695</v>
      </c>
      <c r="D54" s="568" t="s">
        <v>2205</v>
      </c>
      <c r="E54" s="568" t="s">
        <v>2206</v>
      </c>
      <c r="F54" s="569">
        <v>1</v>
      </c>
      <c r="G54" s="566">
        <v>803.83900000000006</v>
      </c>
      <c r="H54" s="567">
        <v>0</v>
      </c>
    </row>
    <row r="55" spans="2:8" ht="15" customHeight="1" x14ac:dyDescent="0.25">
      <c r="B55" s="568" t="s">
        <v>2185</v>
      </c>
      <c r="C55" s="568" t="s">
        <v>695</v>
      </c>
      <c r="D55" s="568" t="s">
        <v>2207</v>
      </c>
      <c r="E55" s="568" t="s">
        <v>2208</v>
      </c>
      <c r="F55" s="569">
        <v>2</v>
      </c>
      <c r="G55" s="566">
        <v>2136.4609999999998</v>
      </c>
      <c r="H55" s="567">
        <v>2523</v>
      </c>
    </row>
    <row r="56" spans="2:8" ht="15" customHeight="1" x14ac:dyDescent="0.25">
      <c r="B56" s="568" t="s">
        <v>2185</v>
      </c>
      <c r="C56" s="568" t="s">
        <v>705</v>
      </c>
      <c r="D56" s="568" t="s">
        <v>2183</v>
      </c>
      <c r="E56" s="568" t="s">
        <v>2209</v>
      </c>
      <c r="F56" s="569">
        <v>1</v>
      </c>
      <c r="G56" s="566">
        <v>2791.4618999999998</v>
      </c>
      <c r="H56" s="567">
        <v>58</v>
      </c>
    </row>
    <row r="57" spans="2:8" ht="15" customHeight="1" x14ac:dyDescent="0.25">
      <c r="B57" s="568" t="s">
        <v>2185</v>
      </c>
      <c r="C57" s="568" t="s">
        <v>705</v>
      </c>
      <c r="D57" s="568" t="s">
        <v>2183</v>
      </c>
      <c r="E57" s="568" t="s">
        <v>2184</v>
      </c>
      <c r="F57" s="569">
        <v>2</v>
      </c>
      <c r="G57" s="566">
        <v>10753.822199999999</v>
      </c>
      <c r="H57" s="567">
        <v>197</v>
      </c>
    </row>
    <row r="58" spans="2:8" ht="15" customHeight="1" x14ac:dyDescent="0.25">
      <c r="B58" s="568" t="s">
        <v>2185</v>
      </c>
      <c r="C58" s="568" t="s">
        <v>2159</v>
      </c>
      <c r="D58" s="568" t="s">
        <v>2210</v>
      </c>
      <c r="E58" s="568" t="s">
        <v>2211</v>
      </c>
      <c r="F58" s="569">
        <v>1</v>
      </c>
      <c r="G58" s="566">
        <v>224.07429999999999</v>
      </c>
      <c r="H58" s="567">
        <v>100</v>
      </c>
    </row>
    <row r="59" spans="2:8" ht="15" customHeight="1" x14ac:dyDescent="0.25">
      <c r="B59" s="568" t="s">
        <v>2185</v>
      </c>
      <c r="C59" s="568" t="s">
        <v>2159</v>
      </c>
      <c r="D59" s="568" t="s">
        <v>2210</v>
      </c>
      <c r="E59" s="568" t="s">
        <v>2212</v>
      </c>
      <c r="F59" s="569">
        <v>2</v>
      </c>
      <c r="G59" s="566">
        <v>8082.1590999999999</v>
      </c>
      <c r="H59" s="567">
        <v>641</v>
      </c>
    </row>
    <row r="60" spans="2:8" ht="15" customHeight="1" x14ac:dyDescent="0.25">
      <c r="B60" s="568" t="s">
        <v>2185</v>
      </c>
      <c r="C60" s="568" t="s">
        <v>2159</v>
      </c>
      <c r="D60" s="568" t="s">
        <v>2210</v>
      </c>
      <c r="E60" s="568" t="s">
        <v>2213</v>
      </c>
      <c r="F60" s="569">
        <v>1</v>
      </c>
      <c r="G60" s="566">
        <v>2019.3720000000001</v>
      </c>
      <c r="H60" s="567">
        <v>377</v>
      </c>
    </row>
    <row r="61" spans="2:8" ht="15" customHeight="1" x14ac:dyDescent="0.25">
      <c r="B61" s="568" t="s">
        <v>2185</v>
      </c>
      <c r="C61" s="568" t="s">
        <v>2159</v>
      </c>
      <c r="D61" s="568" t="s">
        <v>2159</v>
      </c>
      <c r="E61" s="568" t="s">
        <v>2214</v>
      </c>
      <c r="F61" s="569">
        <v>1</v>
      </c>
      <c r="G61" s="566">
        <v>799.06700000000001</v>
      </c>
      <c r="H61" s="567">
        <v>27</v>
      </c>
    </row>
    <row r="62" spans="2:8" ht="15" customHeight="1" x14ac:dyDescent="0.25">
      <c r="B62" s="568" t="s">
        <v>2185</v>
      </c>
      <c r="C62" s="568" t="s">
        <v>2159</v>
      </c>
      <c r="D62" s="568" t="s">
        <v>2215</v>
      </c>
      <c r="E62" s="568" t="s">
        <v>2216</v>
      </c>
      <c r="F62" s="569">
        <v>1</v>
      </c>
      <c r="G62" s="566">
        <v>1869.1479999999999</v>
      </c>
      <c r="H62" s="567">
        <v>273</v>
      </c>
    </row>
    <row r="63" spans="2:8" ht="15" customHeight="1" x14ac:dyDescent="0.25">
      <c r="B63" s="568" t="s">
        <v>2185</v>
      </c>
      <c r="C63" s="568" t="s">
        <v>2159</v>
      </c>
      <c r="D63" s="568" t="s">
        <v>2215</v>
      </c>
      <c r="E63" s="568" t="s">
        <v>2217</v>
      </c>
      <c r="F63" s="569">
        <v>1</v>
      </c>
      <c r="G63" s="566">
        <v>1519.43</v>
      </c>
      <c r="H63" s="567">
        <v>84</v>
      </c>
    </row>
    <row r="64" spans="2:8" ht="15" customHeight="1" x14ac:dyDescent="0.25">
      <c r="B64" s="581" t="s">
        <v>2218</v>
      </c>
      <c r="C64" s="582"/>
      <c r="D64" s="582"/>
      <c r="E64" s="582"/>
      <c r="F64" s="582">
        <f>SUM(F31:F63)</f>
        <v>52</v>
      </c>
      <c r="G64" s="583">
        <f t="shared" ref="G64:H64" si="1">SUM(G31:G63)</f>
        <v>310031.54639999988</v>
      </c>
      <c r="H64" s="584">
        <f t="shared" si="1"/>
        <v>21109</v>
      </c>
    </row>
  </sheetData>
  <mergeCells count="3">
    <mergeCell ref="B8:B9"/>
    <mergeCell ref="C8:E8"/>
    <mergeCell ref="F8:G8"/>
  </mergeCells>
  <hyperlinks>
    <hyperlink ref="A1" location="INDICE!A1" display="(Ir al Índice)" xr:uid="{F20E5011-D063-4B74-BA7B-D4AA5A532A76}"/>
  </hyperlinks>
  <pageMargins left="0.7" right="0.7" top="0.75" bottom="0.75" header="0" footer="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/>
  </sheetPr>
  <dimension ref="A1:AB89"/>
  <sheetViews>
    <sheetView showGridLines="0" topLeftCell="A76" zoomScaleNormal="100" workbookViewId="0">
      <selection activeCell="L83" sqref="L83"/>
    </sheetView>
  </sheetViews>
  <sheetFormatPr baseColWidth="10" defaultColWidth="14.42578125" defaultRowHeight="15" customHeight="1" x14ac:dyDescent="0.25"/>
  <cols>
    <col min="1" max="1" width="4.28515625" customWidth="1"/>
    <col min="2" max="2" width="17.5703125" customWidth="1"/>
    <col min="3" max="3" width="25.5703125" customWidth="1"/>
    <col min="4" max="4" width="17" customWidth="1"/>
    <col min="5" max="5" width="17.42578125" customWidth="1"/>
    <col min="6" max="6" width="18" customWidth="1"/>
    <col min="7" max="7" width="14.140625" customWidth="1"/>
    <col min="8" max="8" width="23.140625" customWidth="1"/>
    <col min="9" max="9" width="16.42578125" customWidth="1"/>
    <col min="10" max="10" width="14.85546875" customWidth="1"/>
    <col min="11" max="11" width="20.42578125" customWidth="1"/>
    <col min="12" max="12" width="19.5703125" customWidth="1"/>
    <col min="13" max="26" width="11.5703125" customWidth="1"/>
  </cols>
  <sheetData>
    <row r="1" spans="1:28" x14ac:dyDescent="0.25">
      <c r="A1" s="78" t="s">
        <v>43</v>
      </c>
      <c r="B1" s="35"/>
      <c r="C1" s="35"/>
      <c r="D1" s="35"/>
      <c r="E1" s="35"/>
      <c r="F1" s="35"/>
      <c r="G1" s="35"/>
      <c r="H1" s="35"/>
      <c r="I1" s="35"/>
      <c r="J1" s="35"/>
    </row>
    <row r="2" spans="1:28" x14ac:dyDescent="0.25">
      <c r="B2" s="35"/>
      <c r="C2" s="35"/>
      <c r="D2" s="35"/>
      <c r="E2" s="35"/>
      <c r="F2" s="35"/>
      <c r="G2" s="35"/>
      <c r="H2" s="35"/>
      <c r="I2" s="35"/>
      <c r="J2" s="35"/>
    </row>
    <row r="3" spans="1:28" x14ac:dyDescent="0.25">
      <c r="B3" s="4" t="s">
        <v>33</v>
      </c>
      <c r="C3" s="35"/>
      <c r="D3" s="35"/>
      <c r="E3" s="35"/>
      <c r="F3" s="35"/>
      <c r="G3" s="35"/>
      <c r="H3" s="35"/>
      <c r="I3" s="35"/>
      <c r="J3" s="35"/>
    </row>
    <row r="4" spans="1:28" x14ac:dyDescent="0.25">
      <c r="B4" s="35"/>
      <c r="C4" s="35"/>
      <c r="D4" s="35"/>
      <c r="E4" s="35"/>
      <c r="F4" s="35"/>
      <c r="G4" s="35"/>
      <c r="H4" s="35"/>
      <c r="I4" s="35"/>
      <c r="J4" s="35"/>
      <c r="T4" s="226"/>
      <c r="U4" s="226"/>
      <c r="V4" s="226"/>
      <c r="W4" s="226"/>
      <c r="X4" s="226"/>
      <c r="Y4" s="226"/>
      <c r="Z4" s="226"/>
      <c r="AA4" s="226"/>
      <c r="AB4" s="226"/>
    </row>
    <row r="5" spans="1:28" x14ac:dyDescent="0.25">
      <c r="B5" s="19" t="s">
        <v>2221</v>
      </c>
      <c r="C5" s="12"/>
      <c r="D5" s="12"/>
      <c r="E5" s="12"/>
      <c r="F5" s="12"/>
      <c r="G5" s="12"/>
      <c r="H5" s="12"/>
      <c r="I5" s="31"/>
      <c r="J5" s="12"/>
      <c r="K5" s="31"/>
      <c r="L5" s="15" t="s">
        <v>283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226"/>
      <c r="X5" s="226"/>
      <c r="Y5" s="226"/>
      <c r="Z5" s="226"/>
      <c r="AA5" s="226"/>
      <c r="AB5" s="226"/>
    </row>
    <row r="6" spans="1:28" ht="24" x14ac:dyDescent="0.25">
      <c r="B6" s="573" t="s">
        <v>44</v>
      </c>
      <c r="C6" s="573" t="s">
        <v>292</v>
      </c>
      <c r="D6" s="573" t="s">
        <v>293</v>
      </c>
      <c r="E6" s="574" t="s">
        <v>294</v>
      </c>
      <c r="F6" s="573" t="s">
        <v>295</v>
      </c>
      <c r="G6" s="573" t="s">
        <v>296</v>
      </c>
      <c r="H6" s="31"/>
      <c r="I6" s="31"/>
      <c r="J6" s="31"/>
      <c r="K6" s="31"/>
      <c r="L6" s="22" t="s">
        <v>2238</v>
      </c>
      <c r="M6" s="31"/>
      <c r="N6" s="31"/>
      <c r="O6" s="31"/>
      <c r="P6" s="31"/>
      <c r="Q6" s="31"/>
      <c r="R6" s="31"/>
      <c r="S6" s="31"/>
      <c r="T6" s="31"/>
      <c r="Y6" s="226"/>
      <c r="Z6" s="226"/>
      <c r="AA6" s="226"/>
      <c r="AB6" s="226"/>
    </row>
    <row r="7" spans="1:28" x14ac:dyDescent="0.25">
      <c r="B7" s="592" t="s">
        <v>68</v>
      </c>
      <c r="C7" s="593">
        <v>29</v>
      </c>
      <c r="D7" s="593">
        <v>38</v>
      </c>
      <c r="E7" s="594">
        <v>1023.232</v>
      </c>
      <c r="F7" s="593">
        <v>6849</v>
      </c>
      <c r="G7" s="595">
        <f>E7/F7*1000</f>
        <v>149.39874434223972</v>
      </c>
      <c r="H7" s="31"/>
      <c r="I7" s="31"/>
      <c r="J7" s="37"/>
      <c r="K7" s="37"/>
      <c r="L7" s="31"/>
      <c r="M7" s="31"/>
      <c r="N7" s="31"/>
      <c r="O7" s="31"/>
      <c r="P7" s="31"/>
      <c r="Q7" s="31"/>
      <c r="R7" s="31"/>
      <c r="S7" s="31"/>
      <c r="T7" s="31"/>
      <c r="Y7" s="226"/>
      <c r="Z7" s="226"/>
      <c r="AA7" s="226"/>
      <c r="AB7" s="226"/>
    </row>
    <row r="8" spans="1:28" x14ac:dyDescent="0.25">
      <c r="A8" s="31"/>
      <c r="B8" s="596" t="s">
        <v>58</v>
      </c>
      <c r="C8" s="593">
        <v>50</v>
      </c>
      <c r="D8" s="593">
        <v>250</v>
      </c>
      <c r="E8" s="594">
        <v>4825.3854000000001</v>
      </c>
      <c r="F8" s="593">
        <v>26599</v>
      </c>
      <c r="G8" s="595">
        <f>E8/F8*1000</f>
        <v>181.41228617617202</v>
      </c>
      <c r="H8" s="69"/>
      <c r="I8" s="31"/>
      <c r="J8" s="37"/>
      <c r="K8" s="37"/>
      <c r="L8" s="69"/>
      <c r="M8" s="69"/>
      <c r="N8" s="69"/>
      <c r="O8" s="69"/>
      <c r="P8" s="69"/>
      <c r="Q8" s="69"/>
      <c r="R8" s="69"/>
      <c r="S8" s="69"/>
      <c r="T8" s="31"/>
      <c r="Y8" s="226"/>
      <c r="Z8" s="226"/>
      <c r="AA8" s="226"/>
      <c r="AB8" s="226"/>
    </row>
    <row r="9" spans="1:28" x14ac:dyDescent="0.25">
      <c r="A9" s="31"/>
      <c r="B9" s="596" t="s">
        <v>69</v>
      </c>
      <c r="C9" s="593">
        <v>69</v>
      </c>
      <c r="D9" s="593">
        <v>184</v>
      </c>
      <c r="E9" s="594">
        <v>2319.2779999999998</v>
      </c>
      <c r="F9" s="593">
        <v>14803</v>
      </c>
      <c r="G9" s="595">
        <f t="shared" ref="G9:G19" si="0">E9/F9*1000</f>
        <v>156.67621428088898</v>
      </c>
      <c r="H9" s="31"/>
      <c r="I9" s="31"/>
      <c r="J9" s="37"/>
      <c r="K9" s="37"/>
      <c r="L9" s="31"/>
      <c r="M9" s="31"/>
      <c r="N9" s="31"/>
      <c r="O9" s="31"/>
      <c r="P9" s="31"/>
      <c r="Q9" s="31"/>
      <c r="R9" s="31"/>
      <c r="S9" s="31"/>
      <c r="T9" s="31"/>
      <c r="Y9" s="226"/>
      <c r="Z9" s="226"/>
      <c r="AA9" s="226"/>
      <c r="AB9" s="226"/>
    </row>
    <row r="10" spans="1:28" x14ac:dyDescent="0.25">
      <c r="A10" s="31"/>
      <c r="B10" s="596" t="s">
        <v>59</v>
      </c>
      <c r="C10" s="593">
        <v>3</v>
      </c>
      <c r="D10" s="593">
        <v>3</v>
      </c>
      <c r="E10" s="594">
        <v>22.239000000000001</v>
      </c>
      <c r="F10" s="593">
        <v>117</v>
      </c>
      <c r="G10" s="595">
        <f t="shared" si="0"/>
        <v>190.07692307692309</v>
      </c>
      <c r="H10" s="31"/>
      <c r="I10" s="31"/>
      <c r="J10" s="37"/>
      <c r="K10" s="37"/>
      <c r="L10" s="31"/>
      <c r="M10" s="31"/>
      <c r="N10" s="31"/>
      <c r="O10" s="31"/>
      <c r="P10" s="31"/>
      <c r="Q10" s="31"/>
      <c r="R10" s="31"/>
      <c r="S10" s="31"/>
      <c r="T10" s="31"/>
      <c r="Y10" s="226"/>
      <c r="Z10" s="226"/>
      <c r="AA10" s="226"/>
      <c r="AB10" s="226"/>
    </row>
    <row r="11" spans="1:28" x14ac:dyDescent="0.25">
      <c r="A11" s="31"/>
      <c r="B11" s="592" t="s">
        <v>60</v>
      </c>
      <c r="C11" s="593">
        <v>32</v>
      </c>
      <c r="D11" s="593">
        <v>41</v>
      </c>
      <c r="E11" s="594">
        <v>497.77800000000002</v>
      </c>
      <c r="F11" s="593">
        <v>3137</v>
      </c>
      <c r="G11" s="595">
        <f t="shared" si="0"/>
        <v>158.67963021995538</v>
      </c>
      <c r="H11" s="31"/>
      <c r="I11" s="31"/>
      <c r="J11" s="37"/>
      <c r="K11" s="37"/>
      <c r="L11" s="31"/>
      <c r="M11" s="31"/>
      <c r="N11" s="31"/>
      <c r="O11" s="31"/>
      <c r="P11" s="31"/>
      <c r="Q11" s="31"/>
      <c r="R11" s="31"/>
      <c r="S11" s="31"/>
      <c r="T11" s="31"/>
      <c r="Y11" s="226"/>
      <c r="Z11" s="226"/>
      <c r="AA11" s="226"/>
      <c r="AB11" s="226"/>
    </row>
    <row r="12" spans="1:28" x14ac:dyDescent="0.25">
      <c r="A12" s="31"/>
      <c r="B12" s="592" t="s">
        <v>70</v>
      </c>
      <c r="C12" s="593">
        <v>32</v>
      </c>
      <c r="D12" s="593">
        <v>49</v>
      </c>
      <c r="E12" s="594">
        <v>1240.652</v>
      </c>
      <c r="F12" s="593">
        <v>6443</v>
      </c>
      <c r="G12" s="595">
        <f t="shared" si="0"/>
        <v>192.55812509700451</v>
      </c>
      <c r="H12" s="31"/>
      <c r="I12" s="31"/>
      <c r="J12" s="37"/>
      <c r="K12" s="37"/>
      <c r="L12" s="31"/>
      <c r="M12" s="31"/>
      <c r="N12" s="31"/>
      <c r="O12" s="31"/>
      <c r="P12" s="31"/>
      <c r="Q12" s="31"/>
      <c r="R12" s="31"/>
      <c r="S12" s="31"/>
      <c r="T12" s="31"/>
      <c r="Y12" s="226"/>
      <c r="Z12" s="226"/>
      <c r="AA12" s="226"/>
      <c r="AB12" s="226"/>
    </row>
    <row r="13" spans="1:28" x14ac:dyDescent="0.25">
      <c r="A13" s="31"/>
      <c r="B13" s="592" t="s">
        <v>73</v>
      </c>
      <c r="C13" s="593">
        <v>16</v>
      </c>
      <c r="D13" s="593">
        <v>52</v>
      </c>
      <c r="E13" s="594">
        <v>591.44100000000003</v>
      </c>
      <c r="F13" s="593">
        <v>3564</v>
      </c>
      <c r="G13" s="595">
        <f t="shared" si="0"/>
        <v>165.9486531986532</v>
      </c>
      <c r="H13" s="31"/>
      <c r="I13" s="31"/>
      <c r="J13" s="37"/>
      <c r="K13" s="37"/>
      <c r="L13" s="31"/>
      <c r="M13" s="31"/>
      <c r="N13" s="31"/>
      <c r="O13" s="31"/>
      <c r="P13" s="31"/>
      <c r="Q13" s="31"/>
      <c r="R13" s="31"/>
      <c r="S13" s="31"/>
      <c r="T13" s="31"/>
      <c r="Y13" s="226"/>
      <c r="Z13" s="226"/>
      <c r="AA13" s="226"/>
      <c r="AB13" s="226"/>
    </row>
    <row r="14" spans="1:28" x14ac:dyDescent="0.25">
      <c r="A14" s="31"/>
      <c r="B14" s="592" t="s">
        <v>74</v>
      </c>
      <c r="C14" s="593">
        <v>2</v>
      </c>
      <c r="D14" s="593">
        <v>2</v>
      </c>
      <c r="E14" s="594">
        <v>24.146000000000001</v>
      </c>
      <c r="F14" s="593">
        <v>206</v>
      </c>
      <c r="G14" s="595">
        <f t="shared" si="0"/>
        <v>117.21359223300972</v>
      </c>
      <c r="H14" s="31"/>
      <c r="I14" s="31"/>
      <c r="J14" s="37"/>
      <c r="K14" s="37"/>
      <c r="L14" s="31"/>
      <c r="M14" s="31"/>
      <c r="N14" s="31"/>
      <c r="O14" s="31"/>
      <c r="P14" s="31"/>
      <c r="Q14" s="31"/>
      <c r="R14" s="31"/>
      <c r="S14" s="31"/>
      <c r="T14" s="31"/>
      <c r="Y14" s="226"/>
      <c r="Z14" s="226"/>
      <c r="AA14" s="226"/>
      <c r="AB14" s="226"/>
    </row>
    <row r="15" spans="1:28" x14ac:dyDescent="0.25">
      <c r="A15" s="31"/>
      <c r="B15" s="592" t="s">
        <v>61</v>
      </c>
      <c r="C15" s="593">
        <v>3</v>
      </c>
      <c r="D15" s="593">
        <v>4</v>
      </c>
      <c r="E15" s="594">
        <v>69.322999999999993</v>
      </c>
      <c r="F15" s="593">
        <v>497</v>
      </c>
      <c r="G15" s="595">
        <f t="shared" si="0"/>
        <v>139.48289738430583</v>
      </c>
      <c r="H15" s="31"/>
      <c r="I15" s="31"/>
      <c r="J15" s="37"/>
      <c r="K15" s="37"/>
      <c r="L15" s="31"/>
      <c r="M15" s="31"/>
      <c r="N15" s="31"/>
      <c r="O15" s="31"/>
      <c r="P15" s="31"/>
      <c r="Q15" s="31"/>
      <c r="R15" s="31"/>
      <c r="S15" s="31"/>
      <c r="T15" s="31"/>
      <c r="Y15" s="226"/>
      <c r="Z15" s="226"/>
      <c r="AA15" s="226"/>
      <c r="AB15" s="226"/>
    </row>
    <row r="16" spans="1:28" x14ac:dyDescent="0.25">
      <c r="A16" s="31"/>
      <c r="B16" s="592" t="s">
        <v>76</v>
      </c>
      <c r="C16" s="593">
        <v>6</v>
      </c>
      <c r="D16" s="593">
        <v>17</v>
      </c>
      <c r="E16" s="594">
        <v>282.91199999999998</v>
      </c>
      <c r="F16" s="593">
        <v>1284</v>
      </c>
      <c r="G16" s="595">
        <f t="shared" si="0"/>
        <v>220.3364485981308</v>
      </c>
      <c r="H16" s="31"/>
      <c r="I16" s="31"/>
      <c r="J16" s="37"/>
      <c r="K16" s="37"/>
      <c r="L16" s="31"/>
      <c r="M16" s="31"/>
      <c r="N16" s="31"/>
      <c r="O16" s="31"/>
      <c r="P16" s="31"/>
      <c r="Q16" s="31"/>
      <c r="R16" s="31"/>
      <c r="S16" s="31"/>
      <c r="T16" s="31"/>
      <c r="Y16" s="226"/>
      <c r="Z16" s="226"/>
      <c r="AA16" s="226"/>
      <c r="AB16" s="226"/>
    </row>
    <row r="17" spans="2:28" x14ac:dyDescent="0.25">
      <c r="B17" s="592" t="s">
        <v>77</v>
      </c>
      <c r="C17" s="593">
        <v>2</v>
      </c>
      <c r="D17" s="593">
        <v>2</v>
      </c>
      <c r="E17" s="594">
        <v>173.03</v>
      </c>
      <c r="F17" s="593">
        <v>1087</v>
      </c>
      <c r="G17" s="595">
        <f t="shared" si="0"/>
        <v>159.18123275068996</v>
      </c>
      <c r="H17" s="31"/>
      <c r="I17" s="31"/>
      <c r="J17" s="37"/>
      <c r="K17" s="37"/>
      <c r="L17" s="31"/>
      <c r="M17" s="31"/>
      <c r="N17" s="31"/>
      <c r="O17" s="31"/>
      <c r="P17" s="31"/>
      <c r="Q17" s="31"/>
      <c r="R17" s="31"/>
      <c r="S17" s="31"/>
      <c r="T17" s="31"/>
      <c r="Y17" s="226"/>
      <c r="Z17" s="226"/>
      <c r="AA17" s="226"/>
      <c r="AB17" s="226"/>
    </row>
    <row r="18" spans="2:28" x14ac:dyDescent="0.25">
      <c r="B18" s="592" t="s">
        <v>79</v>
      </c>
      <c r="C18" s="593">
        <v>67</v>
      </c>
      <c r="D18" s="593">
        <v>134</v>
      </c>
      <c r="E18" s="594">
        <v>1576.9670000000001</v>
      </c>
      <c r="F18" s="593">
        <v>8588</v>
      </c>
      <c r="G18" s="595">
        <f t="shared" si="0"/>
        <v>183.62447601304146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Y18" s="226"/>
      <c r="Z18" s="226"/>
      <c r="AA18" s="226"/>
      <c r="AB18" s="226"/>
    </row>
    <row r="19" spans="2:28" x14ac:dyDescent="0.25">
      <c r="B19" s="285" t="s">
        <v>80</v>
      </c>
      <c r="C19" s="597">
        <v>1</v>
      </c>
      <c r="D19" s="597">
        <v>1</v>
      </c>
      <c r="E19" s="598">
        <v>25.73</v>
      </c>
      <c r="F19" s="599">
        <v>113</v>
      </c>
      <c r="G19" s="595">
        <f t="shared" si="0"/>
        <v>227.69911504424778</v>
      </c>
      <c r="H19" s="12"/>
      <c r="I19" s="12"/>
      <c r="J19" s="12"/>
      <c r="K19" s="31"/>
      <c r="L19" s="31"/>
      <c r="M19" s="31"/>
      <c r="N19" s="31"/>
      <c r="O19" s="31"/>
      <c r="P19" s="31"/>
      <c r="Q19" s="31"/>
      <c r="R19" s="31"/>
      <c r="S19" s="31"/>
      <c r="T19" s="31"/>
      <c r="Y19" s="226"/>
      <c r="Z19" s="226"/>
      <c r="AA19" s="226"/>
      <c r="AB19" s="226"/>
    </row>
    <row r="20" spans="2:28" ht="15.75" customHeight="1" x14ac:dyDescent="0.25">
      <c r="B20" s="600" t="s">
        <v>45</v>
      </c>
      <c r="C20" s="601">
        <f>+SUM(C7:C19)</f>
        <v>312</v>
      </c>
      <c r="D20" s="602">
        <f>+SUM(D7:D19)</f>
        <v>777</v>
      </c>
      <c r="E20" s="603">
        <f>SUM(E7:E19)</f>
        <v>12672.113400000002</v>
      </c>
      <c r="F20" s="602">
        <f>SUM(F7:F19)</f>
        <v>73287</v>
      </c>
      <c r="G20" s="603">
        <f>E20/F20*1000</f>
        <v>172.91079454746412</v>
      </c>
      <c r="H20" s="12"/>
      <c r="I20" s="12"/>
      <c r="J20" s="12"/>
      <c r="K20" s="31"/>
      <c r="L20" s="31"/>
      <c r="M20" s="31"/>
      <c r="N20" s="31"/>
      <c r="O20" s="31"/>
      <c r="P20" s="31"/>
      <c r="Q20" s="31"/>
      <c r="R20" s="31"/>
      <c r="S20" s="31"/>
      <c r="T20" s="31"/>
      <c r="Y20" s="226"/>
      <c r="Z20" s="226"/>
      <c r="AA20" s="226"/>
      <c r="AB20" s="226"/>
    </row>
    <row r="21" spans="2:28" s="585" customFormat="1" ht="15.75" customHeight="1" x14ac:dyDescent="0.25">
      <c r="B21" s="591" t="s">
        <v>2222</v>
      </c>
      <c r="C21" s="591"/>
      <c r="D21" s="586"/>
      <c r="E21" s="587"/>
      <c r="F21" s="586"/>
      <c r="G21" s="587"/>
      <c r="H21" s="588"/>
      <c r="I21" s="588"/>
      <c r="J21" s="588"/>
      <c r="K21" s="589"/>
      <c r="L21" s="589"/>
      <c r="M21" s="589"/>
      <c r="N21" s="589"/>
      <c r="O21" s="589"/>
      <c r="P21" s="589"/>
      <c r="Q21" s="589"/>
      <c r="R21" s="589"/>
      <c r="S21" s="589"/>
      <c r="T21" s="589"/>
      <c r="Y21" s="590"/>
      <c r="Z21" s="590"/>
      <c r="AA21" s="590"/>
      <c r="AB21" s="590"/>
    </row>
    <row r="22" spans="2:28" ht="15.75" customHeight="1" x14ac:dyDescent="0.25">
      <c r="B22" s="12"/>
      <c r="C22" s="12"/>
      <c r="D22" s="12"/>
      <c r="E22" s="12"/>
      <c r="F22" s="70"/>
      <c r="G22" s="71"/>
      <c r="H22" s="12"/>
      <c r="I22" s="12"/>
      <c r="J22" s="12"/>
      <c r="K22" s="31"/>
      <c r="L22" s="31"/>
      <c r="M22" s="31"/>
      <c r="N22" s="31"/>
      <c r="O22" s="31"/>
      <c r="P22" s="31"/>
      <c r="Q22" s="31"/>
      <c r="R22" s="31"/>
      <c r="S22" s="31"/>
      <c r="T22" s="31"/>
      <c r="Y22" s="226"/>
      <c r="Z22" s="226"/>
      <c r="AA22" s="226"/>
      <c r="AB22" s="226"/>
    </row>
    <row r="23" spans="2:28" ht="15.75" customHeight="1" x14ac:dyDescent="0.25">
      <c r="B23" s="19" t="s">
        <v>2223</v>
      </c>
      <c r="C23" s="31"/>
      <c r="D23" s="31"/>
      <c r="E23" s="31"/>
      <c r="F23" s="31"/>
      <c r="G23" s="31"/>
      <c r="H23" s="31"/>
      <c r="I23" s="31"/>
      <c r="J23" s="31"/>
      <c r="Y23" s="31"/>
      <c r="Z23" s="31"/>
      <c r="AA23" s="226"/>
      <c r="AB23" s="226"/>
    </row>
    <row r="24" spans="2:28" ht="27" customHeight="1" x14ac:dyDescent="0.25">
      <c r="B24" s="573" t="s">
        <v>301</v>
      </c>
      <c r="C24" s="573" t="s">
        <v>292</v>
      </c>
      <c r="D24" s="573" t="s">
        <v>294</v>
      </c>
      <c r="E24" s="573" t="s">
        <v>302</v>
      </c>
      <c r="F24" s="573" t="s">
        <v>303</v>
      </c>
      <c r="Y24" s="31"/>
      <c r="Z24" s="31"/>
      <c r="AA24" s="226"/>
      <c r="AB24" s="226"/>
    </row>
    <row r="25" spans="2:28" ht="15.75" customHeight="1" x14ac:dyDescent="0.25">
      <c r="B25" s="592" t="s">
        <v>304</v>
      </c>
      <c r="C25" s="593">
        <v>48</v>
      </c>
      <c r="D25" s="595">
        <v>128.655</v>
      </c>
      <c r="E25" s="604">
        <f t="shared" ref="E25:E30" si="1">+C25/$C$31</f>
        <v>0.15384615384615385</v>
      </c>
      <c r="F25" s="604">
        <f t="shared" ref="F25:F30" si="2">+D25/$D$31</f>
        <v>1.015261377781067E-2</v>
      </c>
      <c r="Y25" s="31"/>
      <c r="Z25" s="31"/>
      <c r="AA25" s="226"/>
      <c r="AB25" s="226"/>
    </row>
    <row r="26" spans="2:28" ht="15.75" customHeight="1" x14ac:dyDescent="0.25">
      <c r="B26" s="592" t="s">
        <v>305</v>
      </c>
      <c r="C26" s="593">
        <v>46</v>
      </c>
      <c r="D26" s="595">
        <v>332.56900000000002</v>
      </c>
      <c r="E26" s="604">
        <f t="shared" si="1"/>
        <v>0.14743589743589744</v>
      </c>
      <c r="F26" s="604">
        <f t="shared" si="2"/>
        <v>2.6244177151861309E-2</v>
      </c>
    </row>
    <row r="27" spans="2:28" ht="15.75" customHeight="1" x14ac:dyDescent="0.25">
      <c r="B27" s="592" t="s">
        <v>306</v>
      </c>
      <c r="C27" s="593">
        <v>58</v>
      </c>
      <c r="D27" s="595">
        <v>868.45299999999997</v>
      </c>
      <c r="E27" s="604">
        <f t="shared" si="1"/>
        <v>0.1858974358974359</v>
      </c>
      <c r="F27" s="604">
        <f t="shared" si="2"/>
        <v>6.8532648503214083E-2</v>
      </c>
    </row>
    <row r="28" spans="2:28" ht="15.75" customHeight="1" x14ac:dyDescent="0.25">
      <c r="B28" s="592" t="s">
        <v>307</v>
      </c>
      <c r="C28" s="593">
        <v>75</v>
      </c>
      <c r="D28" s="595">
        <v>2465.3652000000002</v>
      </c>
      <c r="E28" s="604">
        <f t="shared" si="1"/>
        <v>0.24038461538461539</v>
      </c>
      <c r="F28" s="604">
        <f t="shared" si="2"/>
        <v>0.19455054756406637</v>
      </c>
    </row>
    <row r="29" spans="2:28" ht="15.75" customHeight="1" x14ac:dyDescent="0.25">
      <c r="B29" s="592" t="s">
        <v>308</v>
      </c>
      <c r="C29" s="593">
        <v>46</v>
      </c>
      <c r="D29" s="595">
        <v>3243.5639999999999</v>
      </c>
      <c r="E29" s="604">
        <f t="shared" si="1"/>
        <v>0.14743589743589744</v>
      </c>
      <c r="F29" s="604">
        <f t="shared" si="2"/>
        <v>0.25596092305476414</v>
      </c>
    </row>
    <row r="30" spans="2:28" ht="15.75" customHeight="1" x14ac:dyDescent="0.25">
      <c r="B30" s="285" t="s">
        <v>309</v>
      </c>
      <c r="C30" s="605">
        <v>39</v>
      </c>
      <c r="D30" s="606">
        <v>5633.5</v>
      </c>
      <c r="E30" s="607">
        <f t="shared" si="1"/>
        <v>0.125</v>
      </c>
      <c r="F30" s="607">
        <f t="shared" si="2"/>
        <v>0.44455908994828341</v>
      </c>
    </row>
    <row r="31" spans="2:28" ht="15.75" customHeight="1" x14ac:dyDescent="0.25">
      <c r="B31" s="608" t="s">
        <v>45</v>
      </c>
      <c r="C31" s="609">
        <f>SUM(C25:C30)</f>
        <v>312</v>
      </c>
      <c r="D31" s="610">
        <f>SUM(D25:D30)</f>
        <v>12672.1062</v>
      </c>
      <c r="E31" s="611">
        <f>SUM(E25:E30)</f>
        <v>1</v>
      </c>
      <c r="F31" s="611">
        <f>SUM(F25:F30)</f>
        <v>1</v>
      </c>
    </row>
    <row r="32" spans="2:28" ht="15.75" customHeight="1" x14ac:dyDescent="0.25">
      <c r="B32" s="18" t="s">
        <v>298</v>
      </c>
      <c r="C32" s="31"/>
      <c r="D32" s="31"/>
      <c r="E32" s="31"/>
      <c r="F32" s="31"/>
    </row>
    <row r="33" spans="2:28" ht="15.75" customHeight="1" x14ac:dyDescent="0.25">
      <c r="B33" s="18"/>
      <c r="C33" s="31"/>
      <c r="D33" s="31"/>
      <c r="E33" s="31"/>
      <c r="F33" s="31"/>
    </row>
    <row r="34" spans="2:28" ht="15.75" customHeight="1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31"/>
      <c r="L34" s="31"/>
      <c r="M34" s="31"/>
      <c r="N34" s="31"/>
      <c r="O34" s="31"/>
      <c r="P34" s="31"/>
      <c r="Q34" s="31"/>
      <c r="R34" s="31"/>
      <c r="S34" s="31"/>
      <c r="T34" s="31"/>
      <c r="Y34" s="226"/>
      <c r="Z34" s="226"/>
      <c r="AA34" s="226"/>
      <c r="AB34" s="226"/>
    </row>
    <row r="35" spans="2:28" ht="15.75" customHeight="1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31"/>
      <c r="L35" s="31"/>
      <c r="M35" s="31"/>
      <c r="N35" s="31"/>
      <c r="O35" s="31"/>
      <c r="P35" s="31"/>
      <c r="Q35" s="31"/>
      <c r="R35" s="31"/>
      <c r="S35" s="31"/>
      <c r="T35" s="31"/>
      <c r="Y35" s="226"/>
      <c r="Z35" s="226"/>
      <c r="AA35" s="226"/>
      <c r="AB35" s="226"/>
    </row>
    <row r="36" spans="2:28" ht="15.75" customHeight="1" x14ac:dyDescent="0.25">
      <c r="B36" s="19" t="s">
        <v>2225</v>
      </c>
      <c r="C36" s="12"/>
      <c r="D36" s="12"/>
      <c r="E36" s="12"/>
      <c r="F36" s="12"/>
      <c r="G36" s="12"/>
      <c r="H36" s="12"/>
      <c r="I36" s="12"/>
      <c r="J36" s="12"/>
      <c r="K36" s="31"/>
      <c r="L36" s="31"/>
      <c r="M36" s="31"/>
      <c r="N36" s="31"/>
      <c r="O36" s="31"/>
      <c r="P36" s="31"/>
      <c r="Q36" s="31"/>
      <c r="R36" s="31"/>
      <c r="S36" s="31"/>
      <c r="T36" s="31"/>
      <c r="Y36" s="226"/>
      <c r="Z36" s="226"/>
      <c r="AA36" s="226"/>
      <c r="AB36" s="226"/>
    </row>
    <row r="37" spans="2:28" ht="15" customHeight="1" x14ac:dyDescent="0.25">
      <c r="B37" s="615" t="s">
        <v>44</v>
      </c>
      <c r="C37" s="615" t="s">
        <v>240</v>
      </c>
      <c r="D37" s="571"/>
      <c r="E37" s="571"/>
      <c r="F37" s="615" t="s">
        <v>299</v>
      </c>
      <c r="G37" s="571"/>
      <c r="H37" s="57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Y37" s="226"/>
      <c r="Z37" s="226"/>
      <c r="AA37" s="226"/>
      <c r="AB37" s="226"/>
    </row>
    <row r="38" spans="2:28" ht="22.15" customHeight="1" x14ac:dyDescent="0.25">
      <c r="B38" s="571"/>
      <c r="C38" s="616" t="s">
        <v>292</v>
      </c>
      <c r="D38" s="616" t="s">
        <v>293</v>
      </c>
      <c r="E38" s="617" t="s">
        <v>294</v>
      </c>
      <c r="F38" s="616" t="s">
        <v>292</v>
      </c>
      <c r="G38" s="616" t="s">
        <v>2224</v>
      </c>
      <c r="H38" s="617" t="s">
        <v>294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Y38" s="226"/>
      <c r="Z38" s="226"/>
      <c r="AA38" s="226"/>
      <c r="AB38" s="226"/>
    </row>
    <row r="39" spans="2:28" ht="15.75" customHeight="1" x14ac:dyDescent="0.25">
      <c r="B39" s="592" t="s">
        <v>68</v>
      </c>
      <c r="C39" s="593">
        <v>28</v>
      </c>
      <c r="D39" s="593">
        <v>37</v>
      </c>
      <c r="E39" s="612">
        <v>982.37</v>
      </c>
      <c r="F39" s="593">
        <v>1</v>
      </c>
      <c r="G39" s="593">
        <v>1</v>
      </c>
      <c r="H39" s="612">
        <v>40.862000000000002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Y39" s="226"/>
      <c r="Z39" s="226"/>
      <c r="AA39" s="226"/>
      <c r="AB39" s="226"/>
    </row>
    <row r="40" spans="2:28" ht="15.75" customHeight="1" x14ac:dyDescent="0.25">
      <c r="B40" s="596" t="s">
        <v>58</v>
      </c>
      <c r="C40" s="593">
        <v>12</v>
      </c>
      <c r="D40" s="593">
        <v>66</v>
      </c>
      <c r="E40" s="612">
        <v>1118.23</v>
      </c>
      <c r="F40" s="593">
        <v>38</v>
      </c>
      <c r="G40" s="593">
        <v>184</v>
      </c>
      <c r="H40" s="613">
        <v>3707.14</v>
      </c>
      <c r="I40" s="31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31"/>
      <c r="Y40" s="226"/>
      <c r="Z40" s="226"/>
      <c r="AA40" s="226"/>
      <c r="AB40" s="226"/>
    </row>
    <row r="41" spans="2:28" ht="15.75" customHeight="1" x14ac:dyDescent="0.25">
      <c r="B41" s="596" t="s">
        <v>69</v>
      </c>
      <c r="C41" s="593">
        <v>34</v>
      </c>
      <c r="D41" s="593">
        <v>121</v>
      </c>
      <c r="E41" s="612">
        <v>1434.423</v>
      </c>
      <c r="F41" s="593">
        <v>35</v>
      </c>
      <c r="G41" s="593">
        <v>63</v>
      </c>
      <c r="H41" s="612">
        <v>884.89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Y41" s="226"/>
      <c r="Z41" s="226"/>
      <c r="AA41" s="226"/>
      <c r="AB41" s="226"/>
    </row>
    <row r="42" spans="2:28" ht="15.75" customHeight="1" x14ac:dyDescent="0.25">
      <c r="B42" s="596" t="s">
        <v>59</v>
      </c>
      <c r="C42" s="593">
        <v>1</v>
      </c>
      <c r="D42" s="593">
        <v>1</v>
      </c>
      <c r="E42" s="612">
        <v>14.597</v>
      </c>
      <c r="F42" s="593">
        <v>2</v>
      </c>
      <c r="G42" s="593">
        <v>2</v>
      </c>
      <c r="H42" s="612">
        <v>7.64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Y42" s="226"/>
      <c r="Z42" s="226"/>
      <c r="AA42" s="226"/>
      <c r="AB42" s="226"/>
    </row>
    <row r="43" spans="2:28" ht="15.75" customHeight="1" x14ac:dyDescent="0.25">
      <c r="B43" s="592" t="s">
        <v>60</v>
      </c>
      <c r="C43" s="593">
        <v>26</v>
      </c>
      <c r="D43" s="593">
        <v>34</v>
      </c>
      <c r="E43" s="612">
        <v>439.02600000000001</v>
      </c>
      <c r="F43" s="593">
        <v>6</v>
      </c>
      <c r="G43" s="593">
        <v>7</v>
      </c>
      <c r="H43" s="612">
        <v>58.75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26"/>
      <c r="X43" s="226"/>
      <c r="Y43" s="226"/>
      <c r="Z43" s="226"/>
      <c r="AA43" s="226"/>
      <c r="AB43" s="226"/>
    </row>
    <row r="44" spans="2:28" ht="15.75" customHeight="1" x14ac:dyDescent="0.25">
      <c r="B44" s="592" t="s">
        <v>70</v>
      </c>
      <c r="C44" s="593">
        <v>29</v>
      </c>
      <c r="D44" s="593">
        <v>46</v>
      </c>
      <c r="E44" s="612">
        <v>1128.1690000000001</v>
      </c>
      <c r="F44" s="593">
        <v>3</v>
      </c>
      <c r="G44" s="593">
        <v>3</v>
      </c>
      <c r="H44" s="612">
        <v>112.48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226"/>
      <c r="X44" s="226"/>
      <c r="Y44" s="226"/>
      <c r="Z44" s="226"/>
      <c r="AA44" s="226"/>
      <c r="AB44" s="226"/>
    </row>
    <row r="45" spans="2:28" ht="15.75" customHeight="1" x14ac:dyDescent="0.25">
      <c r="B45" s="592" t="s">
        <v>73</v>
      </c>
      <c r="C45" s="593">
        <v>14</v>
      </c>
      <c r="D45" s="593">
        <v>42</v>
      </c>
      <c r="E45" s="612">
        <v>552.52599999999995</v>
      </c>
      <c r="F45" s="593">
        <v>2</v>
      </c>
      <c r="G45" s="593">
        <v>10</v>
      </c>
      <c r="H45" s="612">
        <v>38.911000000000001</v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226"/>
      <c r="X45" s="226"/>
      <c r="Y45" s="226"/>
      <c r="Z45" s="226"/>
      <c r="AA45" s="226"/>
      <c r="AB45" s="226"/>
    </row>
    <row r="46" spans="2:28" ht="15.75" customHeight="1" x14ac:dyDescent="0.25">
      <c r="B46" s="592" t="s">
        <v>74</v>
      </c>
      <c r="C46" s="593">
        <v>1</v>
      </c>
      <c r="D46" s="593">
        <v>1</v>
      </c>
      <c r="E46" s="612">
        <v>11.082000000000001</v>
      </c>
      <c r="F46" s="593">
        <v>1</v>
      </c>
      <c r="G46" s="593">
        <v>1</v>
      </c>
      <c r="H46" s="612">
        <v>13.06</v>
      </c>
      <c r="I46" s="31"/>
      <c r="J46" s="31"/>
      <c r="K46" s="31"/>
      <c r="L46" s="31"/>
      <c r="T46" s="226"/>
      <c r="U46" s="226"/>
      <c r="V46" s="226"/>
      <c r="W46" s="226"/>
      <c r="X46" s="226"/>
      <c r="Y46" s="226"/>
      <c r="Z46" s="226"/>
      <c r="AA46" s="226"/>
      <c r="AB46" s="226"/>
    </row>
    <row r="47" spans="2:28" ht="15.75" customHeight="1" x14ac:dyDescent="0.25">
      <c r="B47" s="592" t="s">
        <v>61</v>
      </c>
      <c r="C47" s="593">
        <v>3</v>
      </c>
      <c r="D47" s="593">
        <v>4</v>
      </c>
      <c r="E47" s="612">
        <v>69.322999999999993</v>
      </c>
      <c r="F47" s="614">
        <v>0</v>
      </c>
      <c r="G47" s="614">
        <v>0</v>
      </c>
      <c r="H47" s="612">
        <v>0</v>
      </c>
      <c r="I47" s="31"/>
      <c r="J47" s="31"/>
      <c r="K47" s="31"/>
      <c r="L47" s="31"/>
      <c r="T47" s="226"/>
      <c r="U47" s="226"/>
      <c r="V47" s="226"/>
      <c r="W47" s="226"/>
      <c r="X47" s="226"/>
      <c r="Y47" s="226"/>
      <c r="Z47" s="226"/>
      <c r="AA47" s="226"/>
      <c r="AB47" s="226"/>
    </row>
    <row r="48" spans="2:28" ht="15.75" customHeight="1" x14ac:dyDescent="0.25">
      <c r="B48" s="592" t="s">
        <v>76</v>
      </c>
      <c r="C48" s="593">
        <v>6</v>
      </c>
      <c r="D48" s="593">
        <v>17</v>
      </c>
      <c r="E48" s="612">
        <v>282.91199999999998</v>
      </c>
      <c r="F48" s="614">
        <v>0</v>
      </c>
      <c r="G48" s="614">
        <v>0</v>
      </c>
      <c r="H48" s="612">
        <v>0</v>
      </c>
      <c r="I48" s="31"/>
      <c r="J48" s="31"/>
      <c r="K48" s="31"/>
      <c r="L48" s="31"/>
    </row>
    <row r="49" spans="2:28" ht="15.75" customHeight="1" x14ac:dyDescent="0.25">
      <c r="B49" s="592" t="s">
        <v>77</v>
      </c>
      <c r="C49" s="593">
        <v>2</v>
      </c>
      <c r="D49" s="593">
        <v>2</v>
      </c>
      <c r="E49" s="612">
        <v>173.03</v>
      </c>
      <c r="F49" s="614">
        <v>0</v>
      </c>
      <c r="G49" s="614">
        <v>0</v>
      </c>
      <c r="H49" s="612">
        <v>0</v>
      </c>
      <c r="I49" s="31"/>
      <c r="J49" s="31"/>
      <c r="K49" s="31"/>
      <c r="L49" s="31"/>
    </row>
    <row r="50" spans="2:28" ht="15.75" customHeight="1" x14ac:dyDescent="0.25">
      <c r="B50" s="592" t="s">
        <v>79</v>
      </c>
      <c r="C50" s="593">
        <v>39</v>
      </c>
      <c r="D50" s="593">
        <v>83</v>
      </c>
      <c r="E50" s="612">
        <v>1071.175</v>
      </c>
      <c r="F50" s="593">
        <v>28</v>
      </c>
      <c r="G50" s="593">
        <v>51</v>
      </c>
      <c r="H50" s="612">
        <v>505.78699999999998</v>
      </c>
      <c r="I50" s="31"/>
      <c r="J50" s="31"/>
      <c r="K50" s="31"/>
      <c r="L50" s="31"/>
    </row>
    <row r="51" spans="2:28" ht="15.75" customHeight="1" x14ac:dyDescent="0.25">
      <c r="B51" s="285" t="s">
        <v>80</v>
      </c>
      <c r="C51" s="614">
        <v>0</v>
      </c>
      <c r="D51" s="614">
        <v>0</v>
      </c>
      <c r="E51" s="605">
        <v>0</v>
      </c>
      <c r="F51" s="605">
        <v>1</v>
      </c>
      <c r="G51" s="605">
        <v>1</v>
      </c>
      <c r="H51" s="598">
        <v>25.73</v>
      </c>
      <c r="I51" s="12"/>
      <c r="J51" s="12"/>
      <c r="K51" s="31"/>
      <c r="L51" s="31"/>
    </row>
    <row r="52" spans="2:28" ht="15.75" customHeight="1" x14ac:dyDescent="0.25">
      <c r="B52" s="600" t="s">
        <v>45</v>
      </c>
      <c r="C52" s="601">
        <f t="shared" ref="C52:H52" si="3">+SUM(C39:C51)</f>
        <v>195</v>
      </c>
      <c r="D52" s="601">
        <f t="shared" si="3"/>
        <v>454</v>
      </c>
      <c r="E52" s="603">
        <f t="shared" si="3"/>
        <v>7276.8630000000012</v>
      </c>
      <c r="F52" s="618">
        <f t="shared" si="3"/>
        <v>117</v>
      </c>
      <c r="G52" s="601">
        <f t="shared" si="3"/>
        <v>323</v>
      </c>
      <c r="H52" s="603">
        <f t="shared" si="3"/>
        <v>5395.25</v>
      </c>
      <c r="I52" s="12"/>
      <c r="J52" s="12"/>
      <c r="K52" s="31"/>
      <c r="L52" s="15" t="s">
        <v>291</v>
      </c>
    </row>
    <row r="53" spans="2:28" ht="15.75" customHeight="1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31"/>
      <c r="L53" s="22" t="s">
        <v>2239</v>
      </c>
    </row>
    <row r="54" spans="2:28" ht="15.75" customHeight="1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31"/>
      <c r="L54" s="31"/>
    </row>
    <row r="55" spans="2:28" ht="15.75" customHeight="1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31"/>
      <c r="L55" s="31"/>
    </row>
    <row r="56" spans="2:28" ht="15.75" customHeight="1" x14ac:dyDescent="0.25">
      <c r="B56" s="19" t="s">
        <v>2226</v>
      </c>
      <c r="C56" s="12"/>
      <c r="D56" s="12"/>
      <c r="E56" s="12"/>
      <c r="F56" s="12"/>
      <c r="G56" s="12"/>
      <c r="H56" s="12"/>
      <c r="I56" s="12"/>
      <c r="J56" s="12"/>
      <c r="K56" s="31"/>
      <c r="L56" s="31"/>
      <c r="Y56" s="31"/>
      <c r="Z56" s="29" t="s">
        <v>297</v>
      </c>
      <c r="AA56" s="226"/>
      <c r="AB56" s="226"/>
    </row>
    <row r="57" spans="2:28" ht="15" customHeight="1" x14ac:dyDescent="0.25">
      <c r="B57" s="615" t="s">
        <v>44</v>
      </c>
      <c r="C57" s="570" t="s">
        <v>285</v>
      </c>
      <c r="D57" s="571"/>
      <c r="E57" s="571"/>
      <c r="F57" s="571"/>
      <c r="G57" s="570" t="s">
        <v>286</v>
      </c>
      <c r="H57" s="571"/>
      <c r="I57" s="571"/>
      <c r="J57" s="571"/>
      <c r="K57" s="31"/>
      <c r="L57" s="31"/>
      <c r="Y57" s="31"/>
      <c r="Z57" s="68">
        <v>175.34460671278504</v>
      </c>
      <c r="AA57" s="226"/>
      <c r="AB57" s="226"/>
    </row>
    <row r="58" spans="2:28" ht="25.15" customHeight="1" x14ac:dyDescent="0.25">
      <c r="B58" s="571"/>
      <c r="C58" s="573" t="s">
        <v>293</v>
      </c>
      <c r="D58" s="573" t="s">
        <v>294</v>
      </c>
      <c r="E58" s="573" t="s">
        <v>295</v>
      </c>
      <c r="F58" s="573" t="s">
        <v>296</v>
      </c>
      <c r="G58" s="573" t="s">
        <v>293</v>
      </c>
      <c r="H58" s="573" t="s">
        <v>294</v>
      </c>
      <c r="I58" s="573" t="s">
        <v>295</v>
      </c>
      <c r="J58" s="573" t="s">
        <v>296</v>
      </c>
      <c r="K58" s="31"/>
      <c r="L58" s="31"/>
      <c r="Y58" s="31"/>
      <c r="Z58" s="68">
        <v>175.34460671278504</v>
      </c>
      <c r="AA58" s="226"/>
      <c r="AB58" s="226"/>
    </row>
    <row r="59" spans="2:28" ht="15.75" customHeight="1" x14ac:dyDescent="0.25">
      <c r="B59" s="285" t="s">
        <v>68</v>
      </c>
      <c r="C59" s="593">
        <v>22</v>
      </c>
      <c r="D59" s="606">
        <v>547.029</v>
      </c>
      <c r="E59" s="593">
        <v>3696</v>
      </c>
      <c r="F59" s="606">
        <f>D59/E59*1000</f>
        <v>148.00568181818184</v>
      </c>
      <c r="G59" s="593">
        <v>16</v>
      </c>
      <c r="H59" s="606">
        <v>476.20299999999997</v>
      </c>
      <c r="I59" s="593">
        <v>3153</v>
      </c>
      <c r="J59" s="606">
        <v>151.03</v>
      </c>
      <c r="K59" s="31"/>
      <c r="L59" s="31"/>
      <c r="Y59" s="31"/>
      <c r="Z59" s="68">
        <v>175.34460671278504</v>
      </c>
      <c r="AA59" s="226"/>
      <c r="AB59" s="226"/>
    </row>
    <row r="60" spans="2:28" ht="15.75" customHeight="1" x14ac:dyDescent="0.25">
      <c r="B60" s="285" t="s">
        <v>58</v>
      </c>
      <c r="C60" s="593">
        <v>244</v>
      </c>
      <c r="D60" s="606">
        <v>4701.5523999999996</v>
      </c>
      <c r="E60" s="593">
        <v>25869</v>
      </c>
      <c r="F60" s="606">
        <f>D60/E60*1000</f>
        <v>181.74465189995746</v>
      </c>
      <c r="G60" s="593">
        <v>6</v>
      </c>
      <c r="H60" s="606">
        <v>123.833</v>
      </c>
      <c r="I60" s="593">
        <v>730</v>
      </c>
      <c r="J60" s="606">
        <v>169.63</v>
      </c>
      <c r="K60" s="31"/>
      <c r="L60" s="31"/>
      <c r="Y60" s="31"/>
      <c r="Z60" s="68">
        <v>175.34460671278504</v>
      </c>
      <c r="AA60" s="226"/>
      <c r="AB60" s="226"/>
    </row>
    <row r="61" spans="2:28" ht="15.75" customHeight="1" x14ac:dyDescent="0.25">
      <c r="B61" s="285" t="s">
        <v>69</v>
      </c>
      <c r="C61" s="593">
        <v>144</v>
      </c>
      <c r="D61" s="606">
        <v>1301.5869999999993</v>
      </c>
      <c r="E61" s="593">
        <v>8382</v>
      </c>
      <c r="F61" s="606">
        <f t="shared" ref="F61:F70" si="4">D61/E61*1000</f>
        <v>155.28358387019796</v>
      </c>
      <c r="G61" s="593">
        <v>40</v>
      </c>
      <c r="H61" s="606">
        <v>1017.6909999999998</v>
      </c>
      <c r="I61" s="593">
        <v>6421</v>
      </c>
      <c r="J61" s="606">
        <v>158.49</v>
      </c>
      <c r="K61" s="31"/>
      <c r="L61" s="31"/>
      <c r="Y61" s="31"/>
      <c r="Z61" s="68">
        <v>175.34460671278504</v>
      </c>
      <c r="AA61" s="226"/>
      <c r="AB61" s="226"/>
    </row>
    <row r="62" spans="2:28" ht="15.75" customHeight="1" x14ac:dyDescent="0.25">
      <c r="B62" s="285" t="s">
        <v>59</v>
      </c>
      <c r="C62" s="614">
        <v>0</v>
      </c>
      <c r="D62" s="614">
        <v>0</v>
      </c>
      <c r="E62" s="614">
        <v>0</v>
      </c>
      <c r="F62" s="606"/>
      <c r="G62" s="593">
        <v>3</v>
      </c>
      <c r="H62" s="606">
        <v>22.238999999999997</v>
      </c>
      <c r="I62" s="593">
        <v>117</v>
      </c>
      <c r="J62" s="606">
        <v>190.07</v>
      </c>
      <c r="Y62" s="31"/>
      <c r="Z62" s="68">
        <v>175.34460671278504</v>
      </c>
      <c r="AA62" s="226"/>
      <c r="AB62" s="226"/>
    </row>
    <row r="63" spans="2:28" ht="15.75" customHeight="1" x14ac:dyDescent="0.25">
      <c r="B63" s="285" t="s">
        <v>60</v>
      </c>
      <c r="C63" s="593">
        <v>26</v>
      </c>
      <c r="D63" s="606">
        <v>221.54000000000002</v>
      </c>
      <c r="E63" s="593">
        <v>1304</v>
      </c>
      <c r="F63" s="606">
        <f t="shared" si="4"/>
        <v>169.89263803680984</v>
      </c>
      <c r="G63" s="593">
        <v>15</v>
      </c>
      <c r="H63" s="606">
        <v>276.238</v>
      </c>
      <c r="I63" s="593">
        <v>1833</v>
      </c>
      <c r="J63" s="606">
        <v>150.69999999999999</v>
      </c>
      <c r="Y63" s="31"/>
      <c r="Z63" s="68">
        <v>175.34460671278504</v>
      </c>
      <c r="AA63" s="226"/>
      <c r="AB63" s="226"/>
    </row>
    <row r="64" spans="2:28" ht="15.75" customHeight="1" x14ac:dyDescent="0.25">
      <c r="B64" s="285" t="s">
        <v>70</v>
      </c>
      <c r="C64" s="593">
        <v>34</v>
      </c>
      <c r="D64" s="606">
        <v>850.66700000000003</v>
      </c>
      <c r="E64" s="593">
        <v>4380</v>
      </c>
      <c r="F64" s="606">
        <f t="shared" si="4"/>
        <v>194.21621004566211</v>
      </c>
      <c r="G64" s="593">
        <v>15</v>
      </c>
      <c r="H64" s="606">
        <v>389.98500000000001</v>
      </c>
      <c r="I64" s="593">
        <v>2063</v>
      </c>
      <c r="J64" s="606">
        <v>189.03</v>
      </c>
      <c r="Y64" s="31"/>
      <c r="Z64" s="68">
        <v>175.34460671278504</v>
      </c>
      <c r="AA64" s="226"/>
      <c r="AB64" s="226"/>
    </row>
    <row r="65" spans="2:28" ht="15.75" customHeight="1" x14ac:dyDescent="0.25">
      <c r="B65" s="285" t="s">
        <v>73</v>
      </c>
      <c r="C65" s="593">
        <v>45</v>
      </c>
      <c r="D65" s="606">
        <v>441.7299999999999</v>
      </c>
      <c r="E65" s="593">
        <v>2821</v>
      </c>
      <c r="F65" s="606">
        <f t="shared" si="4"/>
        <v>156.58631690889752</v>
      </c>
      <c r="G65" s="593">
        <v>7</v>
      </c>
      <c r="H65" s="606">
        <v>149.71099999999998</v>
      </c>
      <c r="I65" s="593">
        <v>743</v>
      </c>
      <c r="J65" s="606">
        <v>201.49</v>
      </c>
      <c r="Y65" s="31"/>
      <c r="Z65" s="68">
        <v>175.34460671278504</v>
      </c>
      <c r="AA65" s="226"/>
      <c r="AB65" s="226"/>
    </row>
    <row r="66" spans="2:28" ht="15.75" customHeight="1" x14ac:dyDescent="0.25">
      <c r="B66" s="285" t="s">
        <v>74</v>
      </c>
      <c r="C66" s="614">
        <v>0</v>
      </c>
      <c r="D66" s="614">
        <v>0</v>
      </c>
      <c r="E66" s="614">
        <v>0</v>
      </c>
      <c r="F66" s="606"/>
      <c r="G66" s="593">
        <v>2</v>
      </c>
      <c r="H66" s="606">
        <v>24.146000000000001</v>
      </c>
      <c r="I66" s="593">
        <v>206</v>
      </c>
      <c r="J66" s="606">
        <v>117.21</v>
      </c>
      <c r="Y66" s="31"/>
      <c r="Z66" s="68">
        <v>175.34460671278504</v>
      </c>
      <c r="AA66" s="226"/>
      <c r="AB66" s="226"/>
    </row>
    <row r="67" spans="2:28" ht="15.75" customHeight="1" x14ac:dyDescent="0.25">
      <c r="B67" s="285" t="s">
        <v>61</v>
      </c>
      <c r="C67" s="593">
        <v>1</v>
      </c>
      <c r="D67" s="606">
        <v>6.64</v>
      </c>
      <c r="E67" s="593">
        <v>69</v>
      </c>
      <c r="F67" s="606">
        <f t="shared" si="4"/>
        <v>96.231884057971001</v>
      </c>
      <c r="G67" s="614">
        <v>3</v>
      </c>
      <c r="H67" s="614">
        <v>62.683</v>
      </c>
      <c r="I67" s="614">
        <v>428</v>
      </c>
      <c r="J67" s="614">
        <v>146.44999999999999</v>
      </c>
      <c r="Y67" s="31"/>
      <c r="Z67" s="68">
        <v>175.34460671278504</v>
      </c>
      <c r="AA67" s="226"/>
      <c r="AB67" s="226"/>
    </row>
    <row r="68" spans="2:28" ht="15.75" customHeight="1" x14ac:dyDescent="0.25">
      <c r="B68" s="285" t="s">
        <v>76</v>
      </c>
      <c r="C68" s="593">
        <v>17</v>
      </c>
      <c r="D68" s="606">
        <v>282.91200000000003</v>
      </c>
      <c r="E68" s="593">
        <v>1284</v>
      </c>
      <c r="F68" s="606">
        <f t="shared" si="4"/>
        <v>220.33644859813086</v>
      </c>
      <c r="G68" s="614">
        <v>0</v>
      </c>
      <c r="H68" s="614">
        <v>0</v>
      </c>
      <c r="I68" s="614">
        <v>0</v>
      </c>
      <c r="J68" s="614">
        <v>0</v>
      </c>
      <c r="Y68" s="31"/>
      <c r="Z68" s="31"/>
      <c r="AA68" s="226"/>
      <c r="AB68" s="226"/>
    </row>
    <row r="69" spans="2:28" ht="15.75" customHeight="1" x14ac:dyDescent="0.25">
      <c r="B69" s="285" t="s">
        <v>77</v>
      </c>
      <c r="C69" s="614">
        <v>0</v>
      </c>
      <c r="D69" s="614">
        <v>0</v>
      </c>
      <c r="E69" s="614">
        <v>0</v>
      </c>
      <c r="F69" s="606"/>
      <c r="G69" s="593">
        <v>2</v>
      </c>
      <c r="H69" s="606">
        <v>173.03</v>
      </c>
      <c r="I69" s="593">
        <v>1087</v>
      </c>
      <c r="J69" s="606">
        <v>159.18</v>
      </c>
      <c r="Y69" s="31"/>
      <c r="Z69" s="31"/>
      <c r="AA69" s="226"/>
      <c r="AB69" s="226"/>
    </row>
    <row r="70" spans="2:28" ht="15.75" customHeight="1" x14ac:dyDescent="0.25">
      <c r="B70" s="285" t="s">
        <v>79</v>
      </c>
      <c r="C70" s="593">
        <v>74</v>
      </c>
      <c r="D70" s="606">
        <v>533.4849999999999</v>
      </c>
      <c r="E70" s="593">
        <v>2877</v>
      </c>
      <c r="F70" s="606">
        <f t="shared" si="4"/>
        <v>185.43100451859573</v>
      </c>
      <c r="G70" s="593">
        <v>60</v>
      </c>
      <c r="H70" s="606">
        <v>1043.4819999999997</v>
      </c>
      <c r="I70" s="593">
        <v>5711</v>
      </c>
      <c r="J70" s="606">
        <v>182.71</v>
      </c>
      <c r="Y70" s="31"/>
      <c r="Z70" s="31"/>
      <c r="AA70" s="226"/>
      <c r="AB70" s="226"/>
    </row>
    <row r="71" spans="2:28" ht="15.75" customHeight="1" x14ac:dyDescent="0.25">
      <c r="B71" s="285" t="s">
        <v>80</v>
      </c>
      <c r="C71" s="614">
        <v>0</v>
      </c>
      <c r="D71" s="614">
        <v>0</v>
      </c>
      <c r="E71" s="614">
        <v>0</v>
      </c>
      <c r="F71" s="606"/>
      <c r="G71" s="605">
        <v>1</v>
      </c>
      <c r="H71" s="606">
        <v>25.73</v>
      </c>
      <c r="I71" s="605">
        <v>113</v>
      </c>
      <c r="J71" s="606">
        <v>227.69</v>
      </c>
      <c r="Y71" s="31"/>
      <c r="Z71" s="31"/>
      <c r="AA71" s="226"/>
      <c r="AB71" s="226"/>
    </row>
    <row r="72" spans="2:28" ht="15.75" customHeight="1" x14ac:dyDescent="0.25">
      <c r="B72" s="619" t="s">
        <v>45</v>
      </c>
      <c r="C72" s="601">
        <f>+SUM(C59:C71)</f>
        <v>607</v>
      </c>
      <c r="D72" s="603">
        <f>+SUM(D59:D71)</f>
        <v>8887.1423999999988</v>
      </c>
      <c r="E72" s="601">
        <f>+SUM(E59:E71)</f>
        <v>50682</v>
      </c>
      <c r="F72" s="603">
        <f>+D72/E72*1000</f>
        <v>175.35105954776841</v>
      </c>
      <c r="G72" s="601">
        <f>+SUM(G59:G71)</f>
        <v>170</v>
      </c>
      <c r="H72" s="603">
        <f>+SUM(H59:H71)</f>
        <v>3784.971</v>
      </c>
      <c r="I72" s="601">
        <f>+SUM(I59:I71)</f>
        <v>22605</v>
      </c>
      <c r="J72" s="603">
        <f>+H72/I72*1000</f>
        <v>167.43954877239548</v>
      </c>
      <c r="Y72" s="31"/>
      <c r="Z72" s="31"/>
      <c r="AA72" s="226"/>
      <c r="AB72" s="226"/>
    </row>
    <row r="73" spans="2:28" ht="15.75" customHeight="1" x14ac:dyDescent="0.25">
      <c r="B73" s="12"/>
      <c r="C73" s="12"/>
      <c r="D73" s="12"/>
      <c r="E73" s="12"/>
      <c r="F73" s="12"/>
      <c r="G73" s="12"/>
      <c r="H73" s="12"/>
      <c r="I73" s="12"/>
      <c r="J73" s="12"/>
      <c r="Y73" s="31"/>
      <c r="Z73" s="31"/>
      <c r="AA73" s="226"/>
      <c r="AB73" s="226"/>
    </row>
    <row r="74" spans="2:28" ht="15.75" customHeight="1" x14ac:dyDescent="0.25">
      <c r="B74" s="31"/>
      <c r="C74" s="31"/>
      <c r="D74" s="31"/>
      <c r="E74" s="31"/>
      <c r="F74" s="31"/>
    </row>
    <row r="75" spans="2:28" ht="15.75" customHeight="1" x14ac:dyDescent="0.25">
      <c r="B75" s="19" t="s">
        <v>2237</v>
      </c>
      <c r="C75" s="31"/>
      <c r="D75" s="31"/>
      <c r="E75" s="31"/>
      <c r="F75" s="31"/>
    </row>
    <row r="76" spans="2:28" ht="15.75" customHeight="1" x14ac:dyDescent="0.25">
      <c r="B76" s="572" t="s">
        <v>49</v>
      </c>
      <c r="C76" s="572" t="s">
        <v>290</v>
      </c>
      <c r="D76" s="572" t="s">
        <v>44</v>
      </c>
      <c r="E76" s="572" t="s">
        <v>310</v>
      </c>
      <c r="F76" s="572" t="s">
        <v>311</v>
      </c>
    </row>
    <row r="77" spans="2:28" ht="36" x14ac:dyDescent="0.25">
      <c r="B77" s="620">
        <v>1</v>
      </c>
      <c r="C77" s="592" t="s">
        <v>2227</v>
      </c>
      <c r="D77" s="592" t="s">
        <v>58</v>
      </c>
      <c r="E77" s="606">
        <v>476.86799999999999</v>
      </c>
      <c r="F77" s="621">
        <f t="shared" ref="F77:F86" si="5">+E77/$D$31</f>
        <v>3.7631313411814679E-2</v>
      </c>
    </row>
    <row r="78" spans="2:28" ht="52.5" customHeight="1" x14ac:dyDescent="0.25">
      <c r="B78" s="620">
        <v>2</v>
      </c>
      <c r="C78" s="592" t="s">
        <v>2228</v>
      </c>
      <c r="D78" s="592" t="s">
        <v>68</v>
      </c>
      <c r="E78" s="606">
        <v>425.11999999999995</v>
      </c>
      <c r="F78" s="621">
        <f t="shared" si="5"/>
        <v>3.3547698645391713E-2</v>
      </c>
    </row>
    <row r="79" spans="2:28" ht="43.5" customHeight="1" x14ac:dyDescent="0.25">
      <c r="B79" s="620">
        <v>3</v>
      </c>
      <c r="C79" s="592" t="s">
        <v>2229</v>
      </c>
      <c r="D79" s="592" t="s">
        <v>58</v>
      </c>
      <c r="E79" s="606">
        <v>302.875</v>
      </c>
      <c r="F79" s="621">
        <f t="shared" si="5"/>
        <v>2.3900920274800095E-2</v>
      </c>
    </row>
    <row r="80" spans="2:28" ht="59.25" customHeight="1" x14ac:dyDescent="0.25">
      <c r="B80" s="620">
        <v>4</v>
      </c>
      <c r="C80" s="592" t="s">
        <v>2230</v>
      </c>
      <c r="D80" s="592" t="s">
        <v>58</v>
      </c>
      <c r="E80" s="606">
        <v>250.41</v>
      </c>
      <c r="F80" s="621">
        <f t="shared" si="5"/>
        <v>1.9760724543170259E-2</v>
      </c>
    </row>
    <row r="81" spans="2:6" ht="28.5" customHeight="1" x14ac:dyDescent="0.25">
      <c r="B81" s="620">
        <v>5</v>
      </c>
      <c r="C81" s="592" t="s">
        <v>2231</v>
      </c>
      <c r="D81" s="592" t="s">
        <v>70</v>
      </c>
      <c r="E81" s="606">
        <v>219.64599999999999</v>
      </c>
      <c r="F81" s="621">
        <f t="shared" si="5"/>
        <v>1.7333030242439096E-2</v>
      </c>
    </row>
    <row r="82" spans="2:6" ht="56.25" customHeight="1" x14ac:dyDescent="0.25">
      <c r="B82" s="620">
        <v>6</v>
      </c>
      <c r="C82" s="592" t="s">
        <v>2232</v>
      </c>
      <c r="D82" s="592" t="s">
        <v>58</v>
      </c>
      <c r="E82" s="606">
        <v>211.86200000000005</v>
      </c>
      <c r="F82" s="621">
        <f t="shared" si="5"/>
        <v>1.6718767713610232E-2</v>
      </c>
    </row>
    <row r="83" spans="2:6" ht="41.25" customHeight="1" x14ac:dyDescent="0.25">
      <c r="B83" s="620">
        <v>7</v>
      </c>
      <c r="C83" s="592" t="s">
        <v>2233</v>
      </c>
      <c r="D83" s="592" t="s">
        <v>58</v>
      </c>
      <c r="E83" s="606">
        <v>193.26830000000001</v>
      </c>
      <c r="F83" s="621">
        <f t="shared" si="5"/>
        <v>1.5251474139318688E-2</v>
      </c>
    </row>
    <row r="84" spans="2:6" ht="60" customHeight="1" x14ac:dyDescent="0.25">
      <c r="B84" s="620">
        <v>8</v>
      </c>
      <c r="C84" s="592" t="s">
        <v>2234</v>
      </c>
      <c r="D84" s="592" t="s">
        <v>58</v>
      </c>
      <c r="E84" s="606">
        <v>193.06799999999998</v>
      </c>
      <c r="F84" s="621">
        <f t="shared" si="5"/>
        <v>1.5235667769261592E-2</v>
      </c>
    </row>
    <row r="85" spans="2:6" ht="34.5" customHeight="1" x14ac:dyDescent="0.25">
      <c r="B85" s="620">
        <v>9</v>
      </c>
      <c r="C85" s="592" t="s">
        <v>2235</v>
      </c>
      <c r="D85" s="592" t="s">
        <v>69</v>
      </c>
      <c r="E85" s="606">
        <v>187.07400000000001</v>
      </c>
      <c r="F85" s="621">
        <f t="shared" si="5"/>
        <v>1.4762660369749743E-2</v>
      </c>
    </row>
    <row r="86" spans="2:6" ht="30.75" customHeight="1" x14ac:dyDescent="0.25">
      <c r="B86" s="620">
        <v>10</v>
      </c>
      <c r="C86" s="592" t="s">
        <v>2236</v>
      </c>
      <c r="D86" s="592" t="s">
        <v>69</v>
      </c>
      <c r="E86" s="606">
        <v>164.24900000000002</v>
      </c>
      <c r="F86" s="621">
        <f t="shared" si="5"/>
        <v>1.2961460187257587E-2</v>
      </c>
    </row>
    <row r="87" spans="2:6" ht="15.75" customHeight="1" x14ac:dyDescent="0.25">
      <c r="B87" s="622" t="s">
        <v>312</v>
      </c>
      <c r="C87" s="623"/>
      <c r="D87" s="623"/>
      <c r="E87" s="624">
        <f>SUM(E77:E86)</f>
        <v>2624.4403000000002</v>
      </c>
      <c r="F87" s="625">
        <f>SUM(F77:F86)</f>
        <v>0.20710371729681365</v>
      </c>
    </row>
    <row r="88" spans="2:6" ht="15.75" customHeight="1" x14ac:dyDescent="0.25">
      <c r="B88" s="622" t="s">
        <v>45</v>
      </c>
      <c r="C88" s="623"/>
      <c r="D88" s="623"/>
      <c r="E88" s="624">
        <f>D31</f>
        <v>12672.1062</v>
      </c>
      <c r="F88" s="625">
        <v>1</v>
      </c>
    </row>
    <row r="89" spans="2:6" ht="15.75" customHeight="1" x14ac:dyDescent="0.25">
      <c r="B89" s="18" t="s">
        <v>298</v>
      </c>
      <c r="C89" s="31"/>
      <c r="D89" s="31"/>
      <c r="E89" s="31"/>
      <c r="F89" s="31"/>
    </row>
  </sheetData>
  <mergeCells count="9">
    <mergeCell ref="B21:C21"/>
    <mergeCell ref="B87:D87"/>
    <mergeCell ref="B88:D88"/>
    <mergeCell ref="B37:B38"/>
    <mergeCell ref="C37:E37"/>
    <mergeCell ref="F37:H37"/>
    <mergeCell ref="B57:B58"/>
    <mergeCell ref="C57:F57"/>
    <mergeCell ref="G57:J57"/>
  </mergeCells>
  <hyperlinks>
    <hyperlink ref="A1" location="INDICE!A1" display="(Ir al Índice)" xr:uid="{AC719392-F945-481B-A30A-3B6184627540}"/>
  </hyperlinks>
  <pageMargins left="0.7" right="0.7" top="0.75" bottom="0.75" header="0" footer="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/>
  </sheetPr>
  <dimension ref="A1:L50"/>
  <sheetViews>
    <sheetView showGridLines="0" workbookViewId="0">
      <selection activeCell="H27" sqref="H27"/>
    </sheetView>
  </sheetViews>
  <sheetFormatPr baseColWidth="10" defaultColWidth="14.42578125" defaultRowHeight="15" customHeight="1" x14ac:dyDescent="0.25"/>
  <cols>
    <col min="1" max="1" width="4.28515625" customWidth="1"/>
    <col min="2" max="2" width="19.140625" customWidth="1"/>
    <col min="3" max="3" width="26.7109375" customWidth="1"/>
    <col min="4" max="4" width="28.140625" customWidth="1"/>
    <col min="5" max="26" width="11.5703125" customWidth="1"/>
  </cols>
  <sheetData>
    <row r="1" spans="1:7" x14ac:dyDescent="0.25">
      <c r="A1" s="78" t="s">
        <v>43</v>
      </c>
    </row>
    <row r="3" spans="1:7" x14ac:dyDescent="0.25">
      <c r="B3" s="4" t="s">
        <v>34</v>
      </c>
    </row>
    <row r="5" spans="1:7" x14ac:dyDescent="0.25">
      <c r="B5" s="19" t="s">
        <v>2240</v>
      </c>
      <c r="C5" s="31"/>
      <c r="D5" s="31"/>
      <c r="E5" s="31"/>
      <c r="F5" s="31"/>
      <c r="G5" s="31"/>
    </row>
    <row r="6" spans="1:7" ht="25.5" customHeight="1" x14ac:dyDescent="0.25">
      <c r="B6" s="573" t="s">
        <v>44</v>
      </c>
      <c r="C6" s="573" t="s">
        <v>2241</v>
      </c>
      <c r="D6" s="573" t="s">
        <v>313</v>
      </c>
      <c r="E6" s="31"/>
      <c r="F6" s="31"/>
      <c r="G6" s="29" t="s">
        <v>314</v>
      </c>
    </row>
    <row r="7" spans="1:7" x14ac:dyDescent="0.25">
      <c r="B7" s="285" t="s">
        <v>58</v>
      </c>
      <c r="C7" s="293">
        <v>3</v>
      </c>
      <c r="D7" s="593">
        <v>31</v>
      </c>
      <c r="E7" s="31"/>
      <c r="F7" s="31"/>
      <c r="G7" s="29" t="s">
        <v>315</v>
      </c>
    </row>
    <row r="8" spans="1:7" x14ac:dyDescent="0.25">
      <c r="A8" s="31"/>
      <c r="B8" s="285" t="s">
        <v>69</v>
      </c>
      <c r="C8" s="293">
        <v>2</v>
      </c>
      <c r="D8" s="593">
        <v>22</v>
      </c>
      <c r="E8" s="31"/>
      <c r="F8" s="31"/>
      <c r="G8" s="31"/>
    </row>
    <row r="9" spans="1:7" x14ac:dyDescent="0.25">
      <c r="A9" s="31"/>
      <c r="B9" s="285" t="s">
        <v>79</v>
      </c>
      <c r="C9" s="293">
        <v>2</v>
      </c>
      <c r="D9" s="593">
        <v>6</v>
      </c>
      <c r="E9" s="31"/>
      <c r="F9" s="31"/>
      <c r="G9" s="31"/>
    </row>
    <row r="10" spans="1:7" x14ac:dyDescent="0.25">
      <c r="A10" s="31"/>
      <c r="B10" s="626" t="s">
        <v>45</v>
      </c>
      <c r="C10" s="609">
        <f>SUM(C7:C9)</f>
        <v>7</v>
      </c>
      <c r="D10" s="609">
        <f>SUM(D7:D9)</f>
        <v>59</v>
      </c>
      <c r="E10" s="31"/>
      <c r="F10" s="31"/>
      <c r="G10" s="31"/>
    </row>
    <row r="11" spans="1:7" x14ac:dyDescent="0.25">
      <c r="A11" s="31"/>
      <c r="B11" s="31" t="s">
        <v>316</v>
      </c>
      <c r="C11" s="31"/>
      <c r="D11" s="31"/>
      <c r="E11" s="31"/>
      <c r="F11" s="31"/>
      <c r="G11" s="31"/>
    </row>
    <row r="14" spans="1:7" x14ac:dyDescent="0.25">
      <c r="B14" s="15" t="s">
        <v>300</v>
      </c>
    </row>
    <row r="15" spans="1:7" x14ac:dyDescent="0.25">
      <c r="B15" s="22" t="s">
        <v>2242</v>
      </c>
    </row>
    <row r="48" spans="2:12" s="228" customFormat="1" ht="15.75" customHeight="1" x14ac:dyDescent="0.25">
      <c r="B48" s="227">
        <v>2013</v>
      </c>
      <c r="C48" s="227">
        <v>2014</v>
      </c>
      <c r="D48" s="227">
        <v>2015</v>
      </c>
      <c r="E48" s="227">
        <v>2016</v>
      </c>
      <c r="F48" s="227">
        <v>2017</v>
      </c>
      <c r="G48" s="227">
        <v>2018</v>
      </c>
      <c r="H48" s="227">
        <v>2019</v>
      </c>
      <c r="I48" s="227">
        <v>2020</v>
      </c>
      <c r="J48" s="227">
        <v>2021</v>
      </c>
      <c r="K48" s="227">
        <v>2022</v>
      </c>
      <c r="L48" s="227">
        <v>2023</v>
      </c>
    </row>
    <row r="49" spans="2:12" s="228" customFormat="1" ht="15.75" customHeight="1" x14ac:dyDescent="0.25">
      <c r="B49" s="227">
        <v>149</v>
      </c>
      <c r="C49" s="227">
        <v>462</v>
      </c>
      <c r="D49" s="227">
        <v>98</v>
      </c>
      <c r="E49" s="227">
        <v>312</v>
      </c>
      <c r="F49" s="227">
        <v>95</v>
      </c>
      <c r="G49" s="227">
        <v>303</v>
      </c>
      <c r="H49" s="227">
        <v>343</v>
      </c>
      <c r="I49" s="227">
        <v>276</v>
      </c>
      <c r="J49" s="227">
        <v>113</v>
      </c>
      <c r="K49" s="227">
        <v>116</v>
      </c>
      <c r="L49" s="227">
        <v>236</v>
      </c>
    </row>
    <row r="50" spans="2:12" s="228" customFormat="1" ht="15" customHeight="1" x14ac:dyDescent="0.25"/>
  </sheetData>
  <hyperlinks>
    <hyperlink ref="A1" location="INDICE!A1" display="(Ir al Índice)" xr:uid="{994F758D-B840-4AE6-A56B-A2471AF4DAED}"/>
  </hyperlinks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46CD-470B-4B55-9EF4-5CC7CF62EF65}">
  <sheetPr>
    <tabColor theme="4"/>
  </sheetPr>
  <dimension ref="A1:L209"/>
  <sheetViews>
    <sheetView showGridLines="0" topLeftCell="A7" zoomScale="80" zoomScaleNormal="80" workbookViewId="0">
      <selection activeCell="E19" sqref="E19"/>
    </sheetView>
  </sheetViews>
  <sheetFormatPr baseColWidth="10" defaultColWidth="11.42578125" defaultRowHeight="14.1" customHeight="1" x14ac:dyDescent="0.25"/>
  <cols>
    <col min="1" max="1" width="4.28515625" style="103" customWidth="1"/>
    <col min="2" max="2" width="14.28515625" style="148" customWidth="1"/>
    <col min="3" max="3" width="57.140625" style="149" customWidth="1"/>
    <col min="4" max="4" width="14.85546875" style="150" customWidth="1"/>
    <col min="5" max="5" width="19.7109375" style="151" customWidth="1"/>
    <col min="6" max="6" width="11.42578125" style="151"/>
    <col min="7" max="7" width="62.28515625" style="151" customWidth="1"/>
    <col min="8" max="8" width="28.140625" style="151" customWidth="1"/>
    <col min="9" max="9" width="12.42578125" style="151" bestFit="1" customWidth="1"/>
    <col min="10" max="10" width="11.42578125" style="151"/>
    <col min="11" max="11" width="14.7109375" style="151" bestFit="1" customWidth="1"/>
    <col min="12" max="16384" width="11.42578125" style="151"/>
  </cols>
  <sheetData>
    <row r="1" spans="1:11" ht="14.1" customHeight="1" x14ac:dyDescent="0.25">
      <c r="A1" s="78" t="s">
        <v>43</v>
      </c>
    </row>
    <row r="2" spans="1:11" ht="14.1" customHeight="1" x14ac:dyDescent="0.25">
      <c r="A2" s="93"/>
    </row>
    <row r="3" spans="1:11" ht="14.1" customHeight="1" x14ac:dyDescent="0.25">
      <c r="A3" s="96" t="s">
        <v>35</v>
      </c>
      <c r="C3" s="97"/>
      <c r="D3" s="97"/>
    </row>
    <row r="4" spans="1:11" ht="15" x14ac:dyDescent="0.25">
      <c r="A4" s="93"/>
      <c r="B4" s="100"/>
      <c r="C4" s="97"/>
      <c r="D4" s="97"/>
    </row>
    <row r="5" spans="1:11" ht="14.1" customHeight="1" x14ac:dyDescent="0.25">
      <c r="A5" s="93"/>
      <c r="B5" s="102" t="s">
        <v>36</v>
      </c>
      <c r="D5" s="101"/>
    </row>
    <row r="6" spans="1:11" ht="15" x14ac:dyDescent="0.25">
      <c r="A6" s="93"/>
      <c r="B6" s="102"/>
      <c r="D6" s="101"/>
    </row>
    <row r="7" spans="1:11" ht="14.1" customHeight="1" x14ac:dyDescent="0.25">
      <c r="A7" s="93"/>
      <c r="B7" s="102" t="s">
        <v>37</v>
      </c>
      <c r="C7" s="101"/>
    </row>
    <row r="8" spans="1:11" ht="15" x14ac:dyDescent="0.25">
      <c r="A8" s="93"/>
      <c r="B8" s="102"/>
      <c r="C8" s="101"/>
    </row>
    <row r="9" spans="1:11" ht="15" x14ac:dyDescent="0.25">
      <c r="B9" s="152" t="s">
        <v>2243</v>
      </c>
      <c r="C9" s="152"/>
      <c r="D9" s="152"/>
      <c r="G9" s="152" t="s">
        <v>2244</v>
      </c>
    </row>
    <row r="10" spans="1:11" ht="24" customHeight="1" x14ac:dyDescent="0.25">
      <c r="B10" s="627" t="s">
        <v>317</v>
      </c>
      <c r="C10" s="627" t="s">
        <v>318</v>
      </c>
      <c r="D10" s="627" t="s">
        <v>319</v>
      </c>
      <c r="G10" s="627" t="s">
        <v>318</v>
      </c>
      <c r="H10" s="627" t="s">
        <v>319</v>
      </c>
    </row>
    <row r="11" spans="1:11" ht="14.1" customHeight="1" x14ac:dyDescent="0.25">
      <c r="B11" s="631"/>
      <c r="C11" s="631"/>
      <c r="D11" s="631"/>
      <c r="G11" s="650" t="s">
        <v>361</v>
      </c>
      <c r="H11" s="651">
        <v>134692764.70000011</v>
      </c>
      <c r="J11" s="153"/>
      <c r="K11" s="154"/>
    </row>
    <row r="12" spans="1:11" ht="14.1" customHeight="1" x14ac:dyDescent="0.25">
      <c r="B12" s="632" t="s">
        <v>320</v>
      </c>
      <c r="C12" s="633"/>
      <c r="D12" s="634">
        <v>3180</v>
      </c>
      <c r="G12" s="650" t="s">
        <v>333</v>
      </c>
      <c r="H12" s="651">
        <v>31258987.790000029</v>
      </c>
      <c r="J12" s="153"/>
      <c r="K12" s="154"/>
    </row>
    <row r="13" spans="1:11" ht="14.1" customHeight="1" x14ac:dyDescent="0.25">
      <c r="A13" s="106"/>
      <c r="B13" s="635">
        <v>4401220000</v>
      </c>
      <c r="C13" s="636" t="s">
        <v>321</v>
      </c>
      <c r="D13" s="637">
        <v>3000</v>
      </c>
      <c r="G13" s="650" t="s">
        <v>145</v>
      </c>
      <c r="H13" s="651">
        <v>27804405.40999997</v>
      </c>
      <c r="J13" s="153"/>
      <c r="K13" s="154"/>
    </row>
    <row r="14" spans="1:11" ht="14.1" customHeight="1" x14ac:dyDescent="0.25">
      <c r="A14" s="106"/>
      <c r="B14" s="635">
        <v>4401390000</v>
      </c>
      <c r="C14" s="636" t="s">
        <v>322</v>
      </c>
      <c r="D14" s="637">
        <v>180</v>
      </c>
      <c r="G14" s="650" t="s">
        <v>323</v>
      </c>
      <c r="H14" s="651">
        <v>5583917.3200000003</v>
      </c>
      <c r="J14" s="153"/>
      <c r="K14" s="154"/>
    </row>
    <row r="15" spans="1:11" ht="14.1" customHeight="1" x14ac:dyDescent="0.25">
      <c r="A15" s="106"/>
      <c r="B15" s="631"/>
      <c r="C15" s="631"/>
      <c r="D15" s="631"/>
      <c r="G15" s="650" t="s">
        <v>324</v>
      </c>
      <c r="H15" s="651">
        <v>4387309.6199999973</v>
      </c>
      <c r="J15" s="153"/>
      <c r="K15" s="154"/>
    </row>
    <row r="16" spans="1:11" ht="14.1" customHeight="1" x14ac:dyDescent="0.25">
      <c r="A16" s="106"/>
      <c r="B16" s="638" t="s">
        <v>144</v>
      </c>
      <c r="C16" s="638"/>
      <c r="D16" s="634">
        <v>12160</v>
      </c>
      <c r="G16" s="650" t="s">
        <v>343</v>
      </c>
      <c r="H16" s="651">
        <v>3181063.9100000006</v>
      </c>
      <c r="J16" s="153"/>
      <c r="K16" s="154"/>
    </row>
    <row r="17" spans="1:12" ht="14.1" customHeight="1" x14ac:dyDescent="0.25">
      <c r="A17" s="106"/>
      <c r="B17" s="635">
        <v>4402900000</v>
      </c>
      <c r="C17" s="636" t="s">
        <v>322</v>
      </c>
      <c r="D17" s="637">
        <v>12160</v>
      </c>
      <c r="G17" s="650" t="s">
        <v>133</v>
      </c>
      <c r="H17" s="651">
        <v>10902222.789999992</v>
      </c>
      <c r="J17" s="153"/>
      <c r="K17" s="154"/>
    </row>
    <row r="18" spans="1:12" ht="14.1" customHeight="1" x14ac:dyDescent="0.25">
      <c r="A18" s="106"/>
      <c r="B18" s="631"/>
      <c r="C18" s="631"/>
      <c r="D18" s="631"/>
      <c r="G18" s="649" t="s">
        <v>2247</v>
      </c>
      <c r="H18" s="647">
        <v>217810671.54000008</v>
      </c>
    </row>
    <row r="19" spans="1:12" ht="14.1" customHeight="1" x14ac:dyDescent="0.25">
      <c r="A19" s="106"/>
      <c r="B19" s="632" t="s">
        <v>325</v>
      </c>
      <c r="C19" s="633"/>
      <c r="D19" s="634">
        <v>7695180.0799999908</v>
      </c>
      <c r="G19" s="158" t="s">
        <v>327</v>
      </c>
      <c r="H19" s="159"/>
      <c r="L19" s="160"/>
    </row>
    <row r="20" spans="1:12" ht="14.1" customHeight="1" x14ac:dyDescent="0.25">
      <c r="A20" s="106"/>
      <c r="B20" s="635">
        <v>4403499000</v>
      </c>
      <c r="C20" s="636" t="s">
        <v>326</v>
      </c>
      <c r="D20" s="637">
        <v>5878948.5099999914</v>
      </c>
      <c r="G20" s="161"/>
      <c r="H20" s="161"/>
    </row>
    <row r="21" spans="1:12" ht="14.1" customHeight="1" x14ac:dyDescent="0.25">
      <c r="A21" s="106"/>
      <c r="B21" s="635">
        <v>4403980000</v>
      </c>
      <c r="C21" s="636" t="s">
        <v>328</v>
      </c>
      <c r="D21" s="637">
        <v>3140</v>
      </c>
      <c r="G21" s="161"/>
    </row>
    <row r="22" spans="1:12" ht="14.1" customHeight="1" x14ac:dyDescent="0.25">
      <c r="A22" s="106"/>
      <c r="B22" s="635">
        <v>4403990000</v>
      </c>
      <c r="C22" s="636" t="s">
        <v>326</v>
      </c>
      <c r="D22" s="637">
        <v>1813091.5699999998</v>
      </c>
      <c r="G22" s="162" t="s">
        <v>589</v>
      </c>
      <c r="H22" s="161"/>
    </row>
    <row r="23" spans="1:12" ht="18" customHeight="1" x14ac:dyDescent="0.25">
      <c r="A23" s="106"/>
      <c r="B23" s="639"/>
      <c r="C23" s="640"/>
      <c r="D23" s="641"/>
      <c r="G23" s="163" t="s">
        <v>2367</v>
      </c>
      <c r="H23" s="161"/>
    </row>
    <row r="24" spans="1:12" ht="14.1" customHeight="1" x14ac:dyDescent="0.25">
      <c r="A24" s="106"/>
      <c r="B24" s="642" t="s">
        <v>330</v>
      </c>
      <c r="C24" s="642"/>
      <c r="D24" s="634">
        <v>10076.81</v>
      </c>
      <c r="G24" s="161"/>
      <c r="H24" s="161"/>
    </row>
    <row r="25" spans="1:12" ht="14.1" customHeight="1" x14ac:dyDescent="0.25">
      <c r="A25" s="106"/>
      <c r="B25" s="635">
        <v>4405000000</v>
      </c>
      <c r="C25" s="636" t="s">
        <v>330</v>
      </c>
      <c r="D25" s="637">
        <v>10076.81</v>
      </c>
      <c r="G25" s="161"/>
      <c r="H25" s="161"/>
    </row>
    <row r="26" spans="1:12" ht="14.1" customHeight="1" x14ac:dyDescent="0.25">
      <c r="A26" s="106"/>
      <c r="B26" s="639"/>
      <c r="C26" s="640"/>
      <c r="D26" s="641"/>
      <c r="G26" s="161"/>
      <c r="H26" s="161"/>
    </row>
    <row r="27" spans="1:12" ht="14.1" customHeight="1" x14ac:dyDescent="0.25">
      <c r="A27" s="106"/>
      <c r="B27" s="638" t="s">
        <v>593</v>
      </c>
      <c r="C27" s="638"/>
      <c r="D27" s="634">
        <v>560</v>
      </c>
      <c r="G27" s="161"/>
      <c r="H27" s="161"/>
    </row>
    <row r="28" spans="1:12" ht="14.1" customHeight="1" x14ac:dyDescent="0.25">
      <c r="A28" s="106"/>
      <c r="B28" s="635">
        <v>4406910000</v>
      </c>
      <c r="C28" s="636" t="s">
        <v>359</v>
      </c>
      <c r="D28" s="637">
        <v>560</v>
      </c>
      <c r="G28" s="161"/>
      <c r="H28" s="161"/>
    </row>
    <row r="29" spans="1:12" ht="14.1" customHeight="1" x14ac:dyDescent="0.25">
      <c r="A29" s="106"/>
      <c r="B29" s="639"/>
      <c r="C29" s="640"/>
      <c r="D29" s="641"/>
      <c r="G29" s="161"/>
      <c r="H29" s="161"/>
    </row>
    <row r="30" spans="1:12" ht="14.1" customHeight="1" x14ac:dyDescent="0.25">
      <c r="A30" s="106"/>
      <c r="B30" s="642" t="s">
        <v>145</v>
      </c>
      <c r="C30" s="642"/>
      <c r="D30" s="634">
        <v>27804405.40999997</v>
      </c>
      <c r="G30" s="161"/>
      <c r="H30" s="161"/>
    </row>
    <row r="31" spans="1:12" ht="14.1" customHeight="1" x14ac:dyDescent="0.25">
      <c r="A31" s="106"/>
      <c r="B31" s="635">
        <v>4407119000</v>
      </c>
      <c r="C31" s="636" t="s">
        <v>326</v>
      </c>
      <c r="D31" s="637">
        <v>406703.89</v>
      </c>
      <c r="G31" s="161"/>
      <c r="H31" s="161"/>
    </row>
    <row r="32" spans="1:12" ht="14.1" customHeight="1" x14ac:dyDescent="0.25">
      <c r="A32" s="106"/>
      <c r="B32" s="635">
        <v>4407220000</v>
      </c>
      <c r="C32" s="636" t="s">
        <v>331</v>
      </c>
      <c r="D32" s="637">
        <v>1270880.5500000003</v>
      </c>
      <c r="G32" s="161"/>
      <c r="H32" s="161"/>
    </row>
    <row r="33" spans="1:8" ht="14.1" customHeight="1" x14ac:dyDescent="0.25">
      <c r="A33" s="106"/>
      <c r="B33" s="635">
        <v>4407291000</v>
      </c>
      <c r="C33" s="636" t="s">
        <v>2245</v>
      </c>
      <c r="D33" s="637">
        <v>35294.699999999997</v>
      </c>
      <c r="G33" s="161"/>
      <c r="H33" s="161"/>
    </row>
    <row r="34" spans="1:8" ht="14.1" customHeight="1" x14ac:dyDescent="0.25">
      <c r="A34" s="106"/>
      <c r="B34" s="635">
        <v>4407299000</v>
      </c>
      <c r="C34" s="636" t="s">
        <v>326</v>
      </c>
      <c r="D34" s="637">
        <v>16626934.839999976</v>
      </c>
      <c r="G34" s="161"/>
      <c r="H34" s="161"/>
    </row>
    <row r="35" spans="1:8" ht="14.1" customHeight="1" x14ac:dyDescent="0.25">
      <c r="A35" s="106"/>
      <c r="B35" s="635">
        <v>4407990000</v>
      </c>
      <c r="C35" s="636" t="s">
        <v>326</v>
      </c>
      <c r="D35" s="637">
        <v>9464591.429999996</v>
      </c>
      <c r="G35" s="161"/>
      <c r="H35" s="161"/>
    </row>
    <row r="36" spans="1:8" ht="14.1" customHeight="1" x14ac:dyDescent="0.25">
      <c r="A36" s="106"/>
      <c r="B36" s="639"/>
      <c r="C36" s="643"/>
      <c r="D36" s="641"/>
      <c r="G36" s="161"/>
      <c r="H36" s="161"/>
    </row>
    <row r="37" spans="1:8" ht="14.1" customHeight="1" x14ac:dyDescent="0.25">
      <c r="A37" s="106"/>
      <c r="B37" s="642" t="s">
        <v>332</v>
      </c>
      <c r="C37" s="642"/>
      <c r="D37" s="634">
        <v>1243100.9400000002</v>
      </c>
      <c r="G37" s="161"/>
      <c r="H37" s="161"/>
    </row>
    <row r="38" spans="1:8" ht="14.1" customHeight="1" x14ac:dyDescent="0.25">
      <c r="A38" s="106"/>
      <c r="B38" s="635">
        <v>4408399000</v>
      </c>
      <c r="C38" s="636" t="s">
        <v>326</v>
      </c>
      <c r="D38" s="637">
        <v>302994.26</v>
      </c>
      <c r="G38" s="161"/>
      <c r="H38" s="161"/>
    </row>
    <row r="39" spans="1:8" ht="14.1" customHeight="1" x14ac:dyDescent="0.25">
      <c r="A39" s="106"/>
      <c r="B39" s="635">
        <v>4408900000</v>
      </c>
      <c r="C39" s="636" t="s">
        <v>326</v>
      </c>
      <c r="D39" s="637">
        <v>940106.68000000017</v>
      </c>
      <c r="G39" s="161"/>
      <c r="H39" s="161"/>
    </row>
    <row r="40" spans="1:8" ht="14.1" customHeight="1" x14ac:dyDescent="0.25">
      <c r="A40" s="106"/>
      <c r="B40" s="639"/>
      <c r="C40" s="640"/>
      <c r="D40" s="641"/>
      <c r="G40" s="161"/>
      <c r="H40" s="161"/>
    </row>
    <row r="41" spans="1:8" ht="14.1" customHeight="1" x14ac:dyDescent="0.25">
      <c r="A41" s="106"/>
      <c r="B41" s="632" t="s">
        <v>333</v>
      </c>
      <c r="C41" s="633"/>
      <c r="D41" s="634">
        <v>31258987.790000029</v>
      </c>
      <c r="G41" s="161"/>
      <c r="H41" s="161"/>
    </row>
    <row r="42" spans="1:8" ht="14.1" customHeight="1" x14ac:dyDescent="0.25">
      <c r="A42" s="106"/>
      <c r="B42" s="635">
        <v>4409101000</v>
      </c>
      <c r="C42" s="636" t="s">
        <v>335</v>
      </c>
      <c r="D42" s="637">
        <v>175039.47</v>
      </c>
      <c r="G42" s="161"/>
      <c r="H42" s="161"/>
    </row>
    <row r="43" spans="1:8" ht="14.1" customHeight="1" x14ac:dyDescent="0.25">
      <c r="A43" s="106"/>
      <c r="B43" s="635">
        <v>4409221010</v>
      </c>
      <c r="C43" s="636" t="s">
        <v>335</v>
      </c>
      <c r="D43" s="637">
        <v>33705.58</v>
      </c>
      <c r="G43" s="161"/>
      <c r="H43" s="161"/>
    </row>
    <row r="44" spans="1:8" ht="14.1" customHeight="1" x14ac:dyDescent="0.25">
      <c r="A44" s="117"/>
      <c r="B44" s="635">
        <v>4409221020</v>
      </c>
      <c r="C44" s="636" t="s">
        <v>334</v>
      </c>
      <c r="D44" s="637">
        <v>543062.07000000007</v>
      </c>
      <c r="G44" s="161"/>
      <c r="H44" s="161"/>
    </row>
    <row r="45" spans="1:8" ht="14.1" customHeight="1" x14ac:dyDescent="0.25">
      <c r="A45" s="117"/>
      <c r="B45" s="635">
        <v>4409221090</v>
      </c>
      <c r="C45" s="636" t="s">
        <v>326</v>
      </c>
      <c r="D45" s="637">
        <v>463132.04</v>
      </c>
      <c r="G45" s="161"/>
      <c r="H45" s="161"/>
    </row>
    <row r="46" spans="1:8" ht="14.1" customHeight="1" x14ac:dyDescent="0.25">
      <c r="A46" s="117"/>
      <c r="B46" s="635">
        <v>4409229010</v>
      </c>
      <c r="C46" s="636" t="s">
        <v>335</v>
      </c>
      <c r="D46" s="637">
        <v>2751121.24</v>
      </c>
      <c r="G46" s="161"/>
      <c r="H46" s="161"/>
    </row>
    <row r="47" spans="1:8" ht="14.1" customHeight="1" x14ac:dyDescent="0.25">
      <c r="A47" s="117"/>
      <c r="B47" s="635">
        <v>4409229020</v>
      </c>
      <c r="C47" s="636" t="s">
        <v>334</v>
      </c>
      <c r="D47" s="637">
        <v>5156097.6500000022</v>
      </c>
      <c r="G47" s="161"/>
      <c r="H47" s="161"/>
    </row>
    <row r="48" spans="1:8" ht="14.1" customHeight="1" x14ac:dyDescent="0.25">
      <c r="A48" s="117"/>
      <c r="B48" s="635">
        <v>4409229090</v>
      </c>
      <c r="C48" s="636" t="s">
        <v>326</v>
      </c>
      <c r="D48" s="637">
        <v>16711405.790000027</v>
      </c>
    </row>
    <row r="49" spans="1:4" ht="14.1" customHeight="1" x14ac:dyDescent="0.25">
      <c r="A49" s="117"/>
      <c r="B49" s="635">
        <v>4409291000</v>
      </c>
      <c r="C49" s="636" t="s">
        <v>335</v>
      </c>
      <c r="D49" s="637">
        <v>1636740.2999999998</v>
      </c>
    </row>
    <row r="50" spans="1:4" ht="14.1" customHeight="1" x14ac:dyDescent="0.25">
      <c r="A50" s="117"/>
      <c r="B50" s="635">
        <v>4409292000</v>
      </c>
      <c r="C50" s="636" t="s">
        <v>334</v>
      </c>
      <c r="D50" s="637">
        <v>3654837.0099999988</v>
      </c>
    </row>
    <row r="51" spans="1:4" ht="14.1" customHeight="1" x14ac:dyDescent="0.25">
      <c r="A51" s="117"/>
      <c r="B51" s="635">
        <v>4409299000</v>
      </c>
      <c r="C51" s="636" t="s">
        <v>326</v>
      </c>
      <c r="D51" s="637">
        <v>133846.64000000001</v>
      </c>
    </row>
    <row r="52" spans="1:4" ht="14.1" customHeight="1" x14ac:dyDescent="0.25">
      <c r="A52" s="117"/>
      <c r="B52" s="639"/>
      <c r="C52" s="640"/>
      <c r="D52" s="641"/>
    </row>
    <row r="53" spans="1:4" ht="14.1" customHeight="1" x14ac:dyDescent="0.25">
      <c r="A53" s="117"/>
      <c r="B53" s="644" t="s">
        <v>336</v>
      </c>
      <c r="C53" s="633"/>
      <c r="D53" s="634">
        <v>226084.15999999997</v>
      </c>
    </row>
    <row r="54" spans="1:4" ht="14.1" customHeight="1" x14ac:dyDescent="0.25">
      <c r="A54" s="117"/>
      <c r="B54" s="635">
        <v>4410110000</v>
      </c>
      <c r="C54" s="636" t="s">
        <v>337</v>
      </c>
      <c r="D54" s="637">
        <v>499.15999999999997</v>
      </c>
    </row>
    <row r="55" spans="1:4" ht="14.1" customHeight="1" x14ac:dyDescent="0.25">
      <c r="A55" s="117"/>
      <c r="B55" s="635">
        <v>4410120000</v>
      </c>
      <c r="C55" s="636" t="s">
        <v>338</v>
      </c>
      <c r="D55" s="637">
        <v>157464.16999999998</v>
      </c>
    </row>
    <row r="56" spans="1:4" ht="15" x14ac:dyDescent="0.25">
      <c r="A56" s="117"/>
      <c r="B56" s="635">
        <v>4410190000</v>
      </c>
      <c r="C56" s="636" t="s">
        <v>322</v>
      </c>
      <c r="D56" s="637">
        <v>3491.84</v>
      </c>
    </row>
    <row r="57" spans="1:4" ht="14.1" customHeight="1" x14ac:dyDescent="0.25">
      <c r="A57" s="117"/>
      <c r="B57" s="635">
        <v>4410900000</v>
      </c>
      <c r="C57" s="636" t="s">
        <v>322</v>
      </c>
      <c r="D57" s="637">
        <v>1085</v>
      </c>
    </row>
    <row r="58" spans="1:4" ht="14.1" customHeight="1" x14ac:dyDescent="0.25">
      <c r="A58" s="117"/>
      <c r="B58" s="635">
        <v>4411120000</v>
      </c>
      <c r="C58" s="636" t="s">
        <v>339</v>
      </c>
      <c r="D58" s="637">
        <v>44723.060000000005</v>
      </c>
    </row>
    <row r="59" spans="1:4" ht="14.1" customHeight="1" x14ac:dyDescent="0.25">
      <c r="A59" s="117"/>
      <c r="B59" s="635">
        <v>4411130000</v>
      </c>
      <c r="C59" s="636" t="s">
        <v>424</v>
      </c>
      <c r="D59" s="637">
        <v>65</v>
      </c>
    </row>
    <row r="60" spans="1:4" ht="15" x14ac:dyDescent="0.25">
      <c r="A60" s="117"/>
      <c r="B60" s="635">
        <v>4411140000</v>
      </c>
      <c r="C60" s="636" t="s">
        <v>340</v>
      </c>
      <c r="D60" s="637">
        <v>25.92</v>
      </c>
    </row>
    <row r="61" spans="1:4" ht="15" x14ac:dyDescent="0.25">
      <c r="A61" s="117"/>
      <c r="B61" s="635">
        <v>4411920000</v>
      </c>
      <c r="C61" s="636" t="s">
        <v>341</v>
      </c>
      <c r="D61" s="637">
        <v>10535.89</v>
      </c>
    </row>
    <row r="62" spans="1:4" ht="15" x14ac:dyDescent="0.25">
      <c r="A62" s="117"/>
      <c r="B62" s="635">
        <v>4411930000</v>
      </c>
      <c r="C62" s="636" t="s">
        <v>342</v>
      </c>
      <c r="D62" s="637">
        <v>8194.1200000000008</v>
      </c>
    </row>
    <row r="63" spans="1:4" ht="15" x14ac:dyDescent="0.25">
      <c r="A63" s="117"/>
      <c r="B63" s="639"/>
      <c r="C63" s="640"/>
      <c r="D63" s="641"/>
    </row>
    <row r="64" spans="1:4" ht="14.1" customHeight="1" x14ac:dyDescent="0.25">
      <c r="A64" s="117"/>
      <c r="B64" s="632" t="s">
        <v>343</v>
      </c>
      <c r="C64" s="633"/>
      <c r="D64" s="634">
        <v>3181063.9100000006</v>
      </c>
    </row>
    <row r="65" spans="1:5" ht="14.1" customHeight="1" x14ac:dyDescent="0.25">
      <c r="A65" s="117"/>
      <c r="B65" s="635">
        <v>4412100000</v>
      </c>
      <c r="C65" s="636" t="s">
        <v>419</v>
      </c>
      <c r="D65" s="637">
        <v>57.39</v>
      </c>
    </row>
    <row r="66" spans="1:5" ht="14.1" customHeight="1" x14ac:dyDescent="0.25">
      <c r="A66" s="117"/>
      <c r="B66" s="635">
        <v>4412310000</v>
      </c>
      <c r="C66" s="636" t="s">
        <v>344</v>
      </c>
      <c r="D66" s="637">
        <v>2596955.8200000003</v>
      </c>
    </row>
    <row r="67" spans="1:5" ht="14.1" customHeight="1" x14ac:dyDescent="0.25">
      <c r="A67" s="117"/>
      <c r="B67" s="635">
        <v>4412330000</v>
      </c>
      <c r="C67" s="636" t="s">
        <v>2246</v>
      </c>
      <c r="D67" s="637">
        <v>27377.7</v>
      </c>
    </row>
    <row r="68" spans="1:5" ht="14.1" customHeight="1" x14ac:dyDescent="0.25">
      <c r="A68" s="117"/>
      <c r="B68" s="635">
        <v>4412340000</v>
      </c>
      <c r="C68" s="636" t="s">
        <v>345</v>
      </c>
      <c r="D68" s="637">
        <v>556673</v>
      </c>
    </row>
    <row r="69" spans="1:5" ht="9.75" customHeight="1" x14ac:dyDescent="0.25">
      <c r="A69" s="117"/>
      <c r="B69" s="639"/>
      <c r="C69" s="640"/>
      <c r="D69" s="641"/>
      <c r="E69" s="232"/>
    </row>
    <row r="70" spans="1:5" ht="15" x14ac:dyDescent="0.25">
      <c r="A70" s="117"/>
      <c r="B70" s="632" t="s">
        <v>347</v>
      </c>
      <c r="C70" s="633"/>
      <c r="D70" s="634">
        <v>1671.47</v>
      </c>
    </row>
    <row r="71" spans="1:5" ht="15" x14ac:dyDescent="0.25">
      <c r="A71" s="117"/>
      <c r="B71" s="635">
        <v>4413000000</v>
      </c>
      <c r="C71" s="636" t="s">
        <v>347</v>
      </c>
      <c r="D71" s="637">
        <v>1671.47</v>
      </c>
    </row>
    <row r="72" spans="1:5" ht="15" x14ac:dyDescent="0.25">
      <c r="A72" s="117"/>
      <c r="B72" s="645"/>
      <c r="C72" s="640"/>
      <c r="D72" s="646"/>
    </row>
    <row r="73" spans="1:5" ht="14.1" customHeight="1" x14ac:dyDescent="0.25">
      <c r="A73" s="106"/>
      <c r="B73" s="632" t="s">
        <v>323</v>
      </c>
      <c r="C73" s="633"/>
      <c r="D73" s="634">
        <v>5583917.3200000003</v>
      </c>
    </row>
    <row r="74" spans="1:5" ht="14.1" customHeight="1" x14ac:dyDescent="0.25">
      <c r="A74" s="106"/>
      <c r="B74" s="635">
        <v>4415100000</v>
      </c>
      <c r="C74" s="636" t="s">
        <v>348</v>
      </c>
      <c r="D74" s="637">
        <v>778307.09000000102</v>
      </c>
    </row>
    <row r="75" spans="1:5" ht="14.1" customHeight="1" x14ac:dyDescent="0.25">
      <c r="A75" s="106"/>
      <c r="B75" s="635">
        <v>4415200000</v>
      </c>
      <c r="C75" s="636" t="s">
        <v>349</v>
      </c>
      <c r="D75" s="637">
        <v>574122.7300000001</v>
      </c>
    </row>
    <row r="76" spans="1:5" ht="14.1" customHeight="1" x14ac:dyDescent="0.25">
      <c r="A76" s="117"/>
      <c r="B76" s="635">
        <v>4416000000</v>
      </c>
      <c r="C76" s="636" t="s">
        <v>427</v>
      </c>
      <c r="D76" s="637">
        <v>6159.17</v>
      </c>
    </row>
    <row r="77" spans="1:5" ht="15" x14ac:dyDescent="0.25">
      <c r="A77" s="117"/>
      <c r="B77" s="635">
        <v>4417001000</v>
      </c>
      <c r="C77" s="636" t="s">
        <v>350</v>
      </c>
      <c r="D77" s="637">
        <v>45</v>
      </c>
    </row>
    <row r="78" spans="1:5" ht="15" x14ac:dyDescent="0.25">
      <c r="A78" s="117"/>
      <c r="B78" s="635">
        <v>4417009000</v>
      </c>
      <c r="C78" s="636" t="s">
        <v>322</v>
      </c>
      <c r="D78" s="637">
        <v>1327.21</v>
      </c>
    </row>
    <row r="79" spans="1:5" ht="14.1" customHeight="1" x14ac:dyDescent="0.25">
      <c r="A79" s="117"/>
      <c r="B79" s="635">
        <v>4418400000</v>
      </c>
      <c r="C79" s="636" t="s">
        <v>351</v>
      </c>
      <c r="D79" s="637">
        <v>150164.64000000001</v>
      </c>
    </row>
    <row r="80" spans="1:5" ht="14.1" customHeight="1" x14ac:dyDescent="0.25">
      <c r="A80" s="117"/>
      <c r="B80" s="635">
        <v>4418740000</v>
      </c>
      <c r="C80" s="636" t="s">
        <v>352</v>
      </c>
      <c r="D80" s="637">
        <v>362849.44</v>
      </c>
    </row>
    <row r="81" spans="1:4" ht="14.1" customHeight="1" x14ac:dyDescent="0.25">
      <c r="A81" s="117"/>
      <c r="B81" s="635">
        <v>4418750000</v>
      </c>
      <c r="C81" s="636" t="s">
        <v>429</v>
      </c>
      <c r="D81" s="637">
        <v>302.65999999999997</v>
      </c>
    </row>
    <row r="82" spans="1:4" ht="14.1" customHeight="1" x14ac:dyDescent="0.25">
      <c r="A82" s="117"/>
      <c r="B82" s="635">
        <v>4418790000</v>
      </c>
      <c r="C82" s="636" t="s">
        <v>322</v>
      </c>
      <c r="D82" s="637">
        <v>2537817.0099999988</v>
      </c>
    </row>
    <row r="83" spans="1:4" ht="14.1" customHeight="1" x14ac:dyDescent="0.25">
      <c r="A83" s="117"/>
      <c r="B83" s="635">
        <v>4419110000</v>
      </c>
      <c r="C83" s="636" t="s">
        <v>353</v>
      </c>
      <c r="D83" s="637">
        <v>144</v>
      </c>
    </row>
    <row r="84" spans="1:4" ht="14.1" customHeight="1" x14ac:dyDescent="0.25">
      <c r="A84" s="117"/>
      <c r="B84" s="635">
        <v>4419190000</v>
      </c>
      <c r="C84" s="636" t="s">
        <v>322</v>
      </c>
      <c r="D84" s="637">
        <v>40002.1</v>
      </c>
    </row>
    <row r="85" spans="1:4" ht="14.1" customHeight="1" x14ac:dyDescent="0.25">
      <c r="A85" s="117"/>
      <c r="B85" s="635">
        <v>4419900000</v>
      </c>
      <c r="C85" s="636" t="s">
        <v>322</v>
      </c>
      <c r="D85" s="637">
        <v>153740.43</v>
      </c>
    </row>
    <row r="86" spans="1:4" ht="14.1" customHeight="1" x14ac:dyDescent="0.25">
      <c r="A86" s="117"/>
      <c r="B86" s="635">
        <v>4420900000</v>
      </c>
      <c r="C86" s="636" t="s">
        <v>322</v>
      </c>
      <c r="D86" s="637">
        <v>801458.34000000067</v>
      </c>
    </row>
    <row r="87" spans="1:4" ht="14.1" customHeight="1" x14ac:dyDescent="0.25">
      <c r="A87" s="117"/>
      <c r="B87" s="635">
        <v>4421100000</v>
      </c>
      <c r="C87" s="636" t="s">
        <v>354</v>
      </c>
      <c r="D87" s="637">
        <v>2770.6099999999997</v>
      </c>
    </row>
    <row r="88" spans="1:4" ht="15" x14ac:dyDescent="0.25">
      <c r="A88" s="117"/>
      <c r="B88" s="635">
        <v>4421912000</v>
      </c>
      <c r="C88" s="636" t="s">
        <v>356</v>
      </c>
      <c r="D88" s="637">
        <v>1093</v>
      </c>
    </row>
    <row r="89" spans="1:4" ht="15" x14ac:dyDescent="0.25">
      <c r="A89" s="117"/>
      <c r="B89" s="635">
        <v>4421913000</v>
      </c>
      <c r="C89" s="636" t="s">
        <v>357</v>
      </c>
      <c r="D89" s="637">
        <v>213.55</v>
      </c>
    </row>
    <row r="90" spans="1:4" ht="15" x14ac:dyDescent="0.25">
      <c r="A90" s="117"/>
      <c r="B90" s="635">
        <v>4421914000</v>
      </c>
      <c r="C90" s="636" t="s">
        <v>431</v>
      </c>
      <c r="D90" s="637">
        <v>80695.25</v>
      </c>
    </row>
    <row r="91" spans="1:4" ht="15" x14ac:dyDescent="0.25">
      <c r="A91" s="117"/>
      <c r="B91" s="635">
        <v>4421919000</v>
      </c>
      <c r="C91" s="636" t="s">
        <v>326</v>
      </c>
      <c r="D91" s="637">
        <v>27781.249999999996</v>
      </c>
    </row>
    <row r="92" spans="1:4" ht="23.25" x14ac:dyDescent="0.25">
      <c r="A92" s="117"/>
      <c r="B92" s="635">
        <v>4421991000</v>
      </c>
      <c r="C92" s="636" t="s">
        <v>355</v>
      </c>
      <c r="D92" s="637">
        <v>26</v>
      </c>
    </row>
    <row r="93" spans="1:4" ht="15" x14ac:dyDescent="0.25">
      <c r="A93" s="117"/>
      <c r="B93" s="635">
        <v>4421992000</v>
      </c>
      <c r="C93" s="636" t="s">
        <v>356</v>
      </c>
      <c r="D93" s="637">
        <v>1906.5</v>
      </c>
    </row>
    <row r="94" spans="1:4" ht="15" x14ac:dyDescent="0.25">
      <c r="A94" s="117"/>
      <c r="B94" s="635">
        <v>4421999000</v>
      </c>
      <c r="C94" s="636" t="s">
        <v>326</v>
      </c>
      <c r="D94" s="637">
        <v>62991.339999999982</v>
      </c>
    </row>
    <row r="95" spans="1:4" ht="15" x14ac:dyDescent="0.25">
      <c r="A95" s="117"/>
      <c r="B95" s="639"/>
      <c r="C95" s="640"/>
      <c r="D95" s="641"/>
    </row>
    <row r="96" spans="1:4" ht="14.1" customHeight="1" x14ac:dyDescent="0.25">
      <c r="A96" s="117"/>
      <c r="B96" s="632" t="s">
        <v>358</v>
      </c>
      <c r="C96" s="633"/>
      <c r="D96" s="634">
        <v>308206.75</v>
      </c>
    </row>
    <row r="97" spans="1:8" ht="14.1" customHeight="1" x14ac:dyDescent="0.25">
      <c r="A97" s="117"/>
      <c r="B97" s="635">
        <v>4703110000</v>
      </c>
      <c r="C97" s="636" t="s">
        <v>359</v>
      </c>
      <c r="D97" s="637">
        <v>158560</v>
      </c>
      <c r="H97" s="160"/>
    </row>
    <row r="98" spans="1:8" ht="15" x14ac:dyDescent="0.25">
      <c r="A98" s="117"/>
      <c r="B98" s="635">
        <v>4703210000</v>
      </c>
      <c r="C98" s="636" t="s">
        <v>359</v>
      </c>
      <c r="D98" s="637">
        <v>149646.75</v>
      </c>
    </row>
    <row r="99" spans="1:8" ht="15" x14ac:dyDescent="0.25">
      <c r="A99" s="117"/>
      <c r="B99" s="639"/>
      <c r="C99" s="640"/>
      <c r="D99" s="641"/>
    </row>
    <row r="100" spans="1:8" ht="15" x14ac:dyDescent="0.25">
      <c r="A100" s="117"/>
      <c r="B100" s="632" t="s">
        <v>436</v>
      </c>
      <c r="C100" s="633"/>
      <c r="D100" s="634">
        <v>1780.09</v>
      </c>
    </row>
    <row r="101" spans="1:8" ht="23.25" x14ac:dyDescent="0.25">
      <c r="A101" s="117"/>
      <c r="B101" s="635">
        <v>4706200000</v>
      </c>
      <c r="C101" s="636" t="s">
        <v>437</v>
      </c>
      <c r="D101" s="637">
        <v>868.04</v>
      </c>
    </row>
    <row r="102" spans="1:8" ht="15" x14ac:dyDescent="0.25">
      <c r="A102" s="117"/>
      <c r="B102" s="635">
        <v>4706930000</v>
      </c>
      <c r="C102" s="636" t="s">
        <v>596</v>
      </c>
      <c r="D102" s="637">
        <v>912.05</v>
      </c>
    </row>
    <row r="103" spans="1:8" ht="15" x14ac:dyDescent="0.25">
      <c r="A103" s="117"/>
      <c r="B103" s="639"/>
      <c r="C103" s="640"/>
      <c r="D103" s="641"/>
    </row>
    <row r="104" spans="1:8" ht="15" x14ac:dyDescent="0.25">
      <c r="A104" s="117"/>
      <c r="B104" s="632" t="s">
        <v>439</v>
      </c>
      <c r="C104" s="633"/>
      <c r="D104" s="634">
        <v>1400222.49</v>
      </c>
    </row>
    <row r="105" spans="1:8" ht="15" x14ac:dyDescent="0.25">
      <c r="A105" s="117"/>
      <c r="B105" s="635">
        <v>4707100000</v>
      </c>
      <c r="C105" s="636" t="s">
        <v>440</v>
      </c>
      <c r="D105" s="637">
        <v>610719.90999999992</v>
      </c>
    </row>
    <row r="106" spans="1:8" ht="14.1" customHeight="1" x14ac:dyDescent="0.25">
      <c r="A106" s="117"/>
      <c r="B106" s="635">
        <v>4707200000</v>
      </c>
      <c r="C106" s="636" t="s">
        <v>360</v>
      </c>
      <c r="D106" s="637">
        <v>781864.21</v>
      </c>
    </row>
    <row r="107" spans="1:8" ht="14.1" customHeight="1" x14ac:dyDescent="0.25">
      <c r="B107" s="635">
        <v>4707900000</v>
      </c>
      <c r="C107" s="636" t="s">
        <v>441</v>
      </c>
      <c r="D107" s="637">
        <v>7638.37</v>
      </c>
    </row>
    <row r="108" spans="1:8" ht="15" x14ac:dyDescent="0.25">
      <c r="B108" s="639"/>
      <c r="C108" s="643"/>
      <c r="D108" s="641"/>
    </row>
    <row r="109" spans="1:8" ht="15" x14ac:dyDescent="0.25">
      <c r="B109" s="642" t="s">
        <v>361</v>
      </c>
      <c r="C109" s="642"/>
      <c r="D109" s="634">
        <v>134692764.70000011</v>
      </c>
    </row>
    <row r="110" spans="1:8" ht="14.1" customHeight="1" x14ac:dyDescent="0.25">
      <c r="B110" s="635">
        <v>4801000000</v>
      </c>
      <c r="C110" s="636" t="s">
        <v>362</v>
      </c>
      <c r="D110" s="637">
        <v>220</v>
      </c>
    </row>
    <row r="111" spans="1:8" ht="14.1" customHeight="1" x14ac:dyDescent="0.25">
      <c r="B111" s="635">
        <v>4802200090</v>
      </c>
      <c r="C111" s="636" t="s">
        <v>322</v>
      </c>
      <c r="D111" s="637">
        <v>663.99</v>
      </c>
    </row>
    <row r="112" spans="1:8" ht="14.1" customHeight="1" x14ac:dyDescent="0.25">
      <c r="B112" s="635">
        <v>4802540090</v>
      </c>
      <c r="C112" s="636" t="s">
        <v>322</v>
      </c>
      <c r="D112" s="637">
        <v>260.14</v>
      </c>
    </row>
    <row r="113" spans="2:4" ht="14.1" customHeight="1" x14ac:dyDescent="0.25">
      <c r="B113" s="635">
        <v>4802551090</v>
      </c>
      <c r="C113" s="636" t="s">
        <v>322</v>
      </c>
      <c r="D113" s="637">
        <v>5</v>
      </c>
    </row>
    <row r="114" spans="2:4" ht="14.1" customHeight="1" x14ac:dyDescent="0.25">
      <c r="B114" s="635">
        <v>4802559000</v>
      </c>
      <c r="C114" s="636" t="s">
        <v>322</v>
      </c>
      <c r="D114" s="637">
        <v>3558.66</v>
      </c>
    </row>
    <row r="115" spans="2:4" ht="14.1" customHeight="1" x14ac:dyDescent="0.25">
      <c r="B115" s="635">
        <v>4802569000</v>
      </c>
      <c r="C115" s="636" t="s">
        <v>322</v>
      </c>
      <c r="D115" s="637">
        <v>7094.3</v>
      </c>
    </row>
    <row r="116" spans="2:4" ht="14.1" customHeight="1" x14ac:dyDescent="0.25">
      <c r="B116" s="635">
        <v>4802572000</v>
      </c>
      <c r="C116" s="636" t="s">
        <v>364</v>
      </c>
      <c r="D116" s="637">
        <v>15376.3</v>
      </c>
    </row>
    <row r="117" spans="2:4" ht="15" x14ac:dyDescent="0.25">
      <c r="B117" s="635">
        <v>4802579000</v>
      </c>
      <c r="C117" s="636" t="s">
        <v>322</v>
      </c>
      <c r="D117" s="637">
        <v>21722.840000000007</v>
      </c>
    </row>
    <row r="118" spans="2:4" ht="15" x14ac:dyDescent="0.25">
      <c r="B118" s="635">
        <v>4802581090</v>
      </c>
      <c r="C118" s="636" t="s">
        <v>322</v>
      </c>
      <c r="D118" s="637">
        <v>1065.9000000000001</v>
      </c>
    </row>
    <row r="119" spans="2:4" ht="14.1" customHeight="1" x14ac:dyDescent="0.25">
      <c r="B119" s="635">
        <v>4802589090</v>
      </c>
      <c r="C119" s="636" t="s">
        <v>322</v>
      </c>
      <c r="D119" s="637">
        <v>1004.13</v>
      </c>
    </row>
    <row r="120" spans="2:4" ht="14.1" customHeight="1" x14ac:dyDescent="0.25">
      <c r="B120" s="635">
        <v>4802699090</v>
      </c>
      <c r="C120" s="636" t="s">
        <v>322</v>
      </c>
      <c r="D120" s="637">
        <v>12</v>
      </c>
    </row>
    <row r="121" spans="2:4" ht="14.1" customHeight="1" x14ac:dyDescent="0.25">
      <c r="B121" s="635">
        <v>4803001000</v>
      </c>
      <c r="C121" s="636" t="s">
        <v>444</v>
      </c>
      <c r="D121" s="637">
        <v>1598130.1700000013</v>
      </c>
    </row>
    <row r="122" spans="2:4" ht="15" x14ac:dyDescent="0.25">
      <c r="B122" s="635">
        <v>4803009000</v>
      </c>
      <c r="C122" s="636" t="s">
        <v>322</v>
      </c>
      <c r="D122" s="637">
        <v>45277443.700000003</v>
      </c>
    </row>
    <row r="123" spans="2:4" ht="15" x14ac:dyDescent="0.25">
      <c r="B123" s="635">
        <v>4804110000</v>
      </c>
      <c r="C123" s="636" t="s">
        <v>365</v>
      </c>
      <c r="D123" s="637">
        <v>828.51</v>
      </c>
    </row>
    <row r="124" spans="2:4" ht="14.1" customHeight="1" x14ac:dyDescent="0.25">
      <c r="B124" s="635">
        <v>4804190000</v>
      </c>
      <c r="C124" s="636" t="s">
        <v>322</v>
      </c>
      <c r="D124" s="637">
        <v>1923.25</v>
      </c>
    </row>
    <row r="125" spans="2:4" ht="15" x14ac:dyDescent="0.25">
      <c r="B125" s="635">
        <v>4804210000</v>
      </c>
      <c r="C125" s="636" t="s">
        <v>366</v>
      </c>
      <c r="D125" s="637">
        <v>250953.73</v>
      </c>
    </row>
    <row r="126" spans="2:4" ht="15" x14ac:dyDescent="0.25">
      <c r="B126" s="635">
        <v>4804290000</v>
      </c>
      <c r="C126" s="636" t="s">
        <v>322</v>
      </c>
      <c r="D126" s="637">
        <v>5748.7000000000007</v>
      </c>
    </row>
    <row r="127" spans="2:4" ht="14.1" customHeight="1" x14ac:dyDescent="0.25">
      <c r="B127" s="635">
        <v>4804310010</v>
      </c>
      <c r="C127" s="636" t="s">
        <v>367</v>
      </c>
      <c r="D127" s="637">
        <v>2321.6</v>
      </c>
    </row>
    <row r="128" spans="2:4" ht="15" x14ac:dyDescent="0.25">
      <c r="B128" s="635">
        <v>4804310090</v>
      </c>
      <c r="C128" s="636" t="s">
        <v>322</v>
      </c>
      <c r="D128" s="637">
        <v>10432.41</v>
      </c>
    </row>
    <row r="129" spans="2:4" ht="15" x14ac:dyDescent="0.25">
      <c r="B129" s="635">
        <v>4804390000</v>
      </c>
      <c r="C129" s="636" t="s">
        <v>322</v>
      </c>
      <c r="D129" s="637">
        <v>4527.3100000000004</v>
      </c>
    </row>
    <row r="130" spans="2:4" ht="15" x14ac:dyDescent="0.25">
      <c r="B130" s="635">
        <v>4804419010</v>
      </c>
      <c r="C130" s="636" t="s">
        <v>367</v>
      </c>
      <c r="D130" s="637">
        <v>30</v>
      </c>
    </row>
    <row r="131" spans="2:4" ht="14.1" customHeight="1" x14ac:dyDescent="0.25">
      <c r="B131" s="635">
        <v>4804420000</v>
      </c>
      <c r="C131" s="636" t="s">
        <v>446</v>
      </c>
      <c r="D131" s="637">
        <v>38.799999999999997</v>
      </c>
    </row>
    <row r="132" spans="2:4" ht="15" x14ac:dyDescent="0.25">
      <c r="B132" s="635">
        <v>4804510090</v>
      </c>
      <c r="C132" s="636" t="s">
        <v>322</v>
      </c>
      <c r="D132" s="637">
        <v>3199.2</v>
      </c>
    </row>
    <row r="133" spans="2:4" ht="14.1" customHeight="1" x14ac:dyDescent="0.25">
      <c r="B133" s="635">
        <v>4805190090</v>
      </c>
      <c r="C133" s="636" t="s">
        <v>322</v>
      </c>
      <c r="D133" s="637">
        <v>12003077.78000002</v>
      </c>
    </row>
    <row r="134" spans="2:4" ht="14.1" customHeight="1" x14ac:dyDescent="0.25">
      <c r="B134" s="635">
        <v>4805240000</v>
      </c>
      <c r="C134" s="636" t="s">
        <v>369</v>
      </c>
      <c r="D134" s="637">
        <v>4135631.4100000006</v>
      </c>
    </row>
    <row r="135" spans="2:4" ht="23.25" x14ac:dyDescent="0.25">
      <c r="B135" s="635">
        <v>4805250010</v>
      </c>
      <c r="C135" s="636" t="s">
        <v>370</v>
      </c>
      <c r="D135" s="637">
        <v>3346222.1500000018</v>
      </c>
    </row>
    <row r="136" spans="2:4" ht="15" x14ac:dyDescent="0.25">
      <c r="B136" s="635">
        <v>4805250090</v>
      </c>
      <c r="C136" s="636" t="s">
        <v>322</v>
      </c>
      <c r="D136" s="637">
        <v>4584671.1599999992</v>
      </c>
    </row>
    <row r="137" spans="2:4" ht="15" x14ac:dyDescent="0.25">
      <c r="B137" s="635">
        <v>4805300000</v>
      </c>
      <c r="C137" s="636" t="s">
        <v>447</v>
      </c>
      <c r="D137" s="637">
        <v>80816.289999999994</v>
      </c>
    </row>
    <row r="138" spans="2:4" ht="23.25" x14ac:dyDescent="0.25">
      <c r="B138" s="635">
        <v>4805401000</v>
      </c>
      <c r="C138" s="636" t="s">
        <v>371</v>
      </c>
      <c r="D138" s="637">
        <v>785.5</v>
      </c>
    </row>
    <row r="139" spans="2:4" ht="14.1" customHeight="1" x14ac:dyDescent="0.25">
      <c r="B139" s="635">
        <v>4805409000</v>
      </c>
      <c r="C139" s="636" t="s">
        <v>322</v>
      </c>
      <c r="D139" s="637">
        <v>878.95</v>
      </c>
    </row>
    <row r="140" spans="2:4" ht="15" x14ac:dyDescent="0.25">
      <c r="B140" s="635">
        <v>4805919090</v>
      </c>
      <c r="C140" s="636" t="s">
        <v>322</v>
      </c>
      <c r="D140" s="637">
        <v>4206.49</v>
      </c>
    </row>
    <row r="141" spans="2:4" ht="14.1" customHeight="1" x14ac:dyDescent="0.25">
      <c r="B141" s="635">
        <v>4806100000</v>
      </c>
      <c r="C141" s="636" t="s">
        <v>373</v>
      </c>
      <c r="D141" s="637">
        <v>124</v>
      </c>
    </row>
    <row r="142" spans="2:4" ht="14.1" customHeight="1" x14ac:dyDescent="0.25">
      <c r="B142" s="635">
        <v>4806200000</v>
      </c>
      <c r="C142" s="636" t="s">
        <v>374</v>
      </c>
      <c r="D142" s="637">
        <v>295501.65999999997</v>
      </c>
    </row>
    <row r="143" spans="2:4" ht="14.1" customHeight="1" x14ac:dyDescent="0.25">
      <c r="B143" s="635">
        <v>4806400000</v>
      </c>
      <c r="C143" s="636" t="s">
        <v>375</v>
      </c>
      <c r="D143" s="637">
        <v>4551.4399999999996</v>
      </c>
    </row>
    <row r="144" spans="2:4" ht="14.1" customHeight="1" x14ac:dyDescent="0.25">
      <c r="B144" s="635">
        <v>4808100000</v>
      </c>
      <c r="C144" s="636" t="s">
        <v>376</v>
      </c>
      <c r="D144" s="637">
        <v>326769.28000000003</v>
      </c>
    </row>
    <row r="145" spans="2:4" ht="14.1" customHeight="1" x14ac:dyDescent="0.25">
      <c r="B145" s="635">
        <v>4808400000</v>
      </c>
      <c r="C145" s="636" t="s">
        <v>377</v>
      </c>
      <c r="D145" s="637">
        <v>43908.720000000016</v>
      </c>
    </row>
    <row r="146" spans="2:4" ht="14.1" customHeight="1" x14ac:dyDescent="0.25">
      <c r="B146" s="635">
        <v>4808900000</v>
      </c>
      <c r="C146" s="636" t="s">
        <v>322</v>
      </c>
      <c r="D146" s="637">
        <v>15999.560000000001</v>
      </c>
    </row>
    <row r="147" spans="2:4" ht="14.1" customHeight="1" x14ac:dyDescent="0.25">
      <c r="B147" s="635">
        <v>4809200000</v>
      </c>
      <c r="C147" s="636" t="s">
        <v>390</v>
      </c>
      <c r="D147" s="637">
        <v>244.2</v>
      </c>
    </row>
    <row r="148" spans="2:4" ht="14.1" customHeight="1" x14ac:dyDescent="0.25">
      <c r="B148" s="635">
        <v>4809900090</v>
      </c>
      <c r="C148" s="636" t="s">
        <v>322</v>
      </c>
      <c r="D148" s="637">
        <v>116202.01000000001</v>
      </c>
    </row>
    <row r="149" spans="2:4" ht="15" x14ac:dyDescent="0.25">
      <c r="B149" s="635">
        <v>4810131100</v>
      </c>
      <c r="C149" s="636" t="s">
        <v>378</v>
      </c>
      <c r="D149" s="637">
        <v>9350.0400000000009</v>
      </c>
    </row>
    <row r="150" spans="2:4" ht="15" x14ac:dyDescent="0.25">
      <c r="B150" s="635">
        <v>4810131900</v>
      </c>
      <c r="C150" s="636" t="s">
        <v>322</v>
      </c>
      <c r="D150" s="637">
        <v>11022.56</v>
      </c>
    </row>
    <row r="151" spans="2:4" ht="14.1" customHeight="1" x14ac:dyDescent="0.25">
      <c r="B151" s="635">
        <v>4810149000</v>
      </c>
      <c r="C151" s="636" t="s">
        <v>322</v>
      </c>
      <c r="D151" s="637">
        <v>10</v>
      </c>
    </row>
    <row r="152" spans="2:4" ht="15" x14ac:dyDescent="0.25">
      <c r="B152" s="635">
        <v>4810290000</v>
      </c>
      <c r="C152" s="636" t="s">
        <v>322</v>
      </c>
      <c r="D152" s="637">
        <v>300.45999999999998</v>
      </c>
    </row>
    <row r="153" spans="2:4" ht="15" x14ac:dyDescent="0.25">
      <c r="B153" s="635">
        <v>4810390000</v>
      </c>
      <c r="C153" s="636" t="s">
        <v>322</v>
      </c>
      <c r="D153" s="637">
        <v>127</v>
      </c>
    </row>
    <row r="154" spans="2:4" ht="15" x14ac:dyDescent="0.25">
      <c r="B154" s="635">
        <v>4810920000</v>
      </c>
      <c r="C154" s="636" t="s">
        <v>380</v>
      </c>
      <c r="D154" s="637">
        <v>502368.23000000004</v>
      </c>
    </row>
    <row r="155" spans="2:4" ht="15" x14ac:dyDescent="0.25">
      <c r="B155" s="635">
        <v>4810990000</v>
      </c>
      <c r="C155" s="636" t="s">
        <v>322</v>
      </c>
      <c r="D155" s="637">
        <v>4758.47</v>
      </c>
    </row>
    <row r="156" spans="2:4" ht="14.1" customHeight="1" x14ac:dyDescent="0.25">
      <c r="B156" s="635">
        <v>4811109000</v>
      </c>
      <c r="C156" s="636" t="s">
        <v>322</v>
      </c>
      <c r="D156" s="637">
        <v>60</v>
      </c>
    </row>
    <row r="157" spans="2:4" ht="15" x14ac:dyDescent="0.25">
      <c r="B157" s="635">
        <v>4811419000</v>
      </c>
      <c r="C157" s="636" t="s">
        <v>322</v>
      </c>
      <c r="D157" s="637">
        <v>1618913.17</v>
      </c>
    </row>
    <row r="158" spans="2:4" ht="15" x14ac:dyDescent="0.25">
      <c r="B158" s="635">
        <v>4811499000</v>
      </c>
      <c r="C158" s="636" t="s">
        <v>322</v>
      </c>
      <c r="D158" s="637">
        <v>3544.6999999999994</v>
      </c>
    </row>
    <row r="159" spans="2:4" ht="15" x14ac:dyDescent="0.25">
      <c r="B159" s="635">
        <v>4811511090</v>
      </c>
      <c r="C159" s="636" t="s">
        <v>322</v>
      </c>
      <c r="D159" s="637">
        <v>317422.15000000002</v>
      </c>
    </row>
    <row r="160" spans="2:4" ht="15" x14ac:dyDescent="0.25">
      <c r="B160" s="635">
        <v>4811519000</v>
      </c>
      <c r="C160" s="636" t="s">
        <v>322</v>
      </c>
      <c r="D160" s="637">
        <v>141.69999999999999</v>
      </c>
    </row>
    <row r="161" spans="2:4" ht="23.25" x14ac:dyDescent="0.25">
      <c r="B161" s="635">
        <v>4811592000</v>
      </c>
      <c r="C161" s="636" t="s">
        <v>384</v>
      </c>
      <c r="D161" s="637">
        <v>66209.650000000009</v>
      </c>
    </row>
    <row r="162" spans="2:4" ht="14.1" customHeight="1" x14ac:dyDescent="0.25">
      <c r="B162" s="635">
        <v>4811596000</v>
      </c>
      <c r="C162" s="636" t="s">
        <v>385</v>
      </c>
      <c r="D162" s="637">
        <v>571.62</v>
      </c>
    </row>
    <row r="163" spans="2:4" ht="15" x14ac:dyDescent="0.25">
      <c r="B163" s="635">
        <v>4811599000</v>
      </c>
      <c r="C163" s="636" t="s">
        <v>322</v>
      </c>
      <c r="D163" s="637">
        <v>1418349.3700000003</v>
      </c>
    </row>
    <row r="164" spans="2:4" ht="15" x14ac:dyDescent="0.25">
      <c r="B164" s="635">
        <v>4811609000</v>
      </c>
      <c r="C164" s="636" t="s">
        <v>322</v>
      </c>
      <c r="D164" s="637">
        <v>56.08</v>
      </c>
    </row>
    <row r="165" spans="2:4" ht="14.1" customHeight="1" x14ac:dyDescent="0.25">
      <c r="B165" s="635">
        <v>4811902010</v>
      </c>
      <c r="C165" s="636" t="s">
        <v>382</v>
      </c>
      <c r="D165" s="637">
        <v>3043.5299999999997</v>
      </c>
    </row>
    <row r="166" spans="2:4" ht="15" x14ac:dyDescent="0.25">
      <c r="B166" s="635">
        <v>4811909000</v>
      </c>
      <c r="C166" s="636" t="s">
        <v>322</v>
      </c>
      <c r="D166" s="637">
        <v>558508.92999999993</v>
      </c>
    </row>
    <row r="167" spans="2:4" ht="15" x14ac:dyDescent="0.25">
      <c r="B167" s="635">
        <v>4812000000</v>
      </c>
      <c r="C167" s="636" t="s">
        <v>387</v>
      </c>
      <c r="D167" s="637">
        <v>9352.73</v>
      </c>
    </row>
    <row r="168" spans="2:4" ht="34.5" x14ac:dyDescent="0.25">
      <c r="B168" s="635">
        <v>4814200000</v>
      </c>
      <c r="C168" s="636" t="s">
        <v>388</v>
      </c>
      <c r="D168" s="637">
        <v>5839.11</v>
      </c>
    </row>
    <row r="169" spans="2:4" ht="14.1" customHeight="1" x14ac:dyDescent="0.25">
      <c r="B169" s="635">
        <v>4814900090</v>
      </c>
      <c r="C169" s="636" t="s">
        <v>322</v>
      </c>
      <c r="D169" s="637">
        <v>101.84</v>
      </c>
    </row>
    <row r="170" spans="2:4" ht="14.1" customHeight="1" x14ac:dyDescent="0.25">
      <c r="B170" s="635">
        <v>4816900000</v>
      </c>
      <c r="C170" s="636" t="s">
        <v>322</v>
      </c>
      <c r="D170" s="637">
        <v>1509352.2400000002</v>
      </c>
    </row>
    <row r="171" spans="2:4" ht="14.1" customHeight="1" x14ac:dyDescent="0.25">
      <c r="B171" s="635">
        <v>4817100000</v>
      </c>
      <c r="C171" s="636" t="s">
        <v>391</v>
      </c>
      <c r="D171" s="637">
        <v>642820.22000000044</v>
      </c>
    </row>
    <row r="172" spans="2:4" ht="14.1" customHeight="1" x14ac:dyDescent="0.25">
      <c r="B172" s="635">
        <v>4817200000</v>
      </c>
      <c r="C172" s="636" t="s">
        <v>392</v>
      </c>
      <c r="D172" s="637">
        <v>268.14</v>
      </c>
    </row>
    <row r="173" spans="2:4" ht="14.1" customHeight="1" x14ac:dyDescent="0.25">
      <c r="B173" s="635">
        <v>4817300000</v>
      </c>
      <c r="C173" s="636" t="s">
        <v>393</v>
      </c>
      <c r="D173" s="637">
        <v>23246.750000000004</v>
      </c>
    </row>
    <row r="174" spans="2:4" ht="15" x14ac:dyDescent="0.25">
      <c r="B174" s="635">
        <v>4818100000</v>
      </c>
      <c r="C174" s="636" t="s">
        <v>394</v>
      </c>
      <c r="D174" s="637">
        <v>19972393.690000024</v>
      </c>
    </row>
    <row r="175" spans="2:4" ht="14.1" customHeight="1" x14ac:dyDescent="0.25">
      <c r="B175" s="635">
        <v>4818200000</v>
      </c>
      <c r="C175" s="636" t="s">
        <v>395</v>
      </c>
      <c r="D175" s="637">
        <v>4213436.6800000006</v>
      </c>
    </row>
    <row r="176" spans="2:4" ht="14.1" customHeight="1" x14ac:dyDescent="0.25">
      <c r="B176" s="635">
        <v>4818300000</v>
      </c>
      <c r="C176" s="636" t="s">
        <v>396</v>
      </c>
      <c r="D176" s="637">
        <v>277019.95000000007</v>
      </c>
    </row>
    <row r="177" spans="2:4" ht="14.1" customHeight="1" x14ac:dyDescent="0.25">
      <c r="B177" s="635">
        <v>4818500000</v>
      </c>
      <c r="C177" s="636" t="s">
        <v>397</v>
      </c>
      <c r="D177" s="637">
        <v>3938.91</v>
      </c>
    </row>
    <row r="178" spans="2:4" ht="14.1" customHeight="1" x14ac:dyDescent="0.25">
      <c r="B178" s="635">
        <v>4818900000</v>
      </c>
      <c r="C178" s="636" t="s">
        <v>322</v>
      </c>
      <c r="D178" s="637">
        <v>453749.20999999985</v>
      </c>
    </row>
    <row r="179" spans="2:4" ht="14.1" customHeight="1" x14ac:dyDescent="0.25">
      <c r="B179" s="635">
        <v>4819100000</v>
      </c>
      <c r="C179" s="636" t="s">
        <v>398</v>
      </c>
      <c r="D179" s="637">
        <v>7205598.2399999816</v>
      </c>
    </row>
    <row r="180" spans="2:4" ht="14.1" customHeight="1" x14ac:dyDescent="0.25">
      <c r="B180" s="635">
        <v>4819200000</v>
      </c>
      <c r="C180" s="636" t="s">
        <v>399</v>
      </c>
      <c r="D180" s="637">
        <v>2208597.1799999969</v>
      </c>
    </row>
    <row r="181" spans="2:4" ht="14.1" customHeight="1" x14ac:dyDescent="0.25">
      <c r="B181" s="635">
        <v>4819301000</v>
      </c>
      <c r="C181" s="636" t="s">
        <v>400</v>
      </c>
      <c r="D181" s="637">
        <v>5905765.9799999977</v>
      </c>
    </row>
    <row r="182" spans="2:4" ht="14.1" customHeight="1" x14ac:dyDescent="0.25">
      <c r="B182" s="635">
        <v>4819309000</v>
      </c>
      <c r="C182" s="636" t="s">
        <v>322</v>
      </c>
      <c r="D182" s="637">
        <v>66313.919999999998</v>
      </c>
    </row>
    <row r="183" spans="2:4" ht="14.1" customHeight="1" x14ac:dyDescent="0.25">
      <c r="B183" s="635">
        <v>4819400000</v>
      </c>
      <c r="C183" s="636" t="s">
        <v>401</v>
      </c>
      <c r="D183" s="637">
        <v>1284258.7199999995</v>
      </c>
    </row>
    <row r="184" spans="2:4" ht="15" x14ac:dyDescent="0.25">
      <c r="B184" s="635">
        <v>4819500000</v>
      </c>
      <c r="C184" s="636" t="s">
        <v>402</v>
      </c>
      <c r="D184" s="637">
        <v>729449.72999999986</v>
      </c>
    </row>
    <row r="185" spans="2:4" ht="15" x14ac:dyDescent="0.25">
      <c r="B185" s="635">
        <v>4819600000</v>
      </c>
      <c r="C185" s="636" t="s">
        <v>403</v>
      </c>
      <c r="D185" s="637">
        <v>97501.889999999985</v>
      </c>
    </row>
    <row r="186" spans="2:4" ht="14.1" customHeight="1" x14ac:dyDescent="0.25">
      <c r="B186" s="635">
        <v>4821100000</v>
      </c>
      <c r="C186" s="636" t="s">
        <v>404</v>
      </c>
      <c r="D186" s="637">
        <v>698017.2799999998</v>
      </c>
    </row>
    <row r="187" spans="2:4" ht="14.1" customHeight="1" x14ac:dyDescent="0.25">
      <c r="B187" s="635">
        <v>4821900000</v>
      </c>
      <c r="C187" s="636" t="s">
        <v>326</v>
      </c>
      <c r="D187" s="637">
        <v>1338036.3600000006</v>
      </c>
    </row>
    <row r="188" spans="2:4" ht="14.1" customHeight="1" x14ac:dyDescent="0.25">
      <c r="B188" s="635">
        <v>4822100000</v>
      </c>
      <c r="C188" s="636" t="s">
        <v>405</v>
      </c>
      <c r="D188" s="637">
        <v>102358.43</v>
      </c>
    </row>
    <row r="189" spans="2:4" ht="14.1" customHeight="1" x14ac:dyDescent="0.25">
      <c r="B189" s="635">
        <v>4822900000</v>
      </c>
      <c r="C189" s="636" t="s">
        <v>322</v>
      </c>
      <c r="D189" s="637">
        <v>163044.34</v>
      </c>
    </row>
    <row r="190" spans="2:4" ht="14.1" customHeight="1" x14ac:dyDescent="0.25">
      <c r="B190" s="635">
        <v>4823200090</v>
      </c>
      <c r="C190" s="636" t="s">
        <v>322</v>
      </c>
      <c r="D190" s="637">
        <v>119063.17</v>
      </c>
    </row>
    <row r="191" spans="2:4" ht="23.25" x14ac:dyDescent="0.25">
      <c r="B191" s="635">
        <v>4823400000</v>
      </c>
      <c r="C191" s="636" t="s">
        <v>462</v>
      </c>
      <c r="D191" s="637">
        <v>4818.3600000000006</v>
      </c>
    </row>
    <row r="192" spans="2:4" ht="15" x14ac:dyDescent="0.25">
      <c r="B192" s="635">
        <v>4823690000</v>
      </c>
      <c r="C192" s="636" t="s">
        <v>322</v>
      </c>
      <c r="D192" s="637">
        <v>4362006.3099999996</v>
      </c>
    </row>
    <row r="193" spans="2:4" ht="14.1" customHeight="1" x14ac:dyDescent="0.25">
      <c r="B193" s="635">
        <v>4823700000</v>
      </c>
      <c r="C193" s="636" t="s">
        <v>406</v>
      </c>
      <c r="D193" s="637">
        <v>3105870.5899999989</v>
      </c>
    </row>
    <row r="194" spans="2:4" ht="14.1" customHeight="1" x14ac:dyDescent="0.25">
      <c r="B194" s="635">
        <v>4823904000</v>
      </c>
      <c r="C194" s="636" t="s">
        <v>407</v>
      </c>
      <c r="D194" s="637">
        <v>147190.39999999991</v>
      </c>
    </row>
    <row r="195" spans="2:4" ht="14.1" customHeight="1" x14ac:dyDescent="0.25">
      <c r="B195" s="635">
        <v>4823906000</v>
      </c>
      <c r="C195" s="636" t="s">
        <v>408</v>
      </c>
      <c r="D195" s="637">
        <v>678.59999999999991</v>
      </c>
    </row>
    <row r="196" spans="2:4" ht="45.75" x14ac:dyDescent="0.25">
      <c r="B196" s="635">
        <v>4823909010</v>
      </c>
      <c r="C196" s="636" t="s">
        <v>409</v>
      </c>
      <c r="D196" s="637">
        <v>17896.91</v>
      </c>
    </row>
    <row r="197" spans="2:4" ht="45.75" x14ac:dyDescent="0.25">
      <c r="B197" s="635">
        <v>4823909020</v>
      </c>
      <c r="C197" s="636" t="s">
        <v>410</v>
      </c>
      <c r="D197" s="637">
        <v>25073.98</v>
      </c>
    </row>
    <row r="198" spans="2:4" ht="15" x14ac:dyDescent="0.25">
      <c r="B198" s="635">
        <v>4823909099</v>
      </c>
      <c r="C198" s="636" t="s">
        <v>322</v>
      </c>
      <c r="D198" s="637">
        <v>3318795.9400000004</v>
      </c>
    </row>
    <row r="199" spans="2:4" ht="15" x14ac:dyDescent="0.25">
      <c r="B199" s="639"/>
      <c r="C199" s="643"/>
      <c r="D199" s="641"/>
    </row>
    <row r="200" spans="2:4" ht="15" x14ac:dyDescent="0.25">
      <c r="B200" s="632" t="s">
        <v>324</v>
      </c>
      <c r="C200" s="633"/>
      <c r="D200" s="634">
        <v>4387309.6199999973</v>
      </c>
    </row>
    <row r="201" spans="2:4" ht="15" x14ac:dyDescent="0.25">
      <c r="B201" s="635">
        <v>9401610000</v>
      </c>
      <c r="C201" s="636" t="s">
        <v>412</v>
      </c>
      <c r="D201" s="637">
        <v>477919.0699999996</v>
      </c>
    </row>
    <row r="202" spans="2:4" ht="15" x14ac:dyDescent="0.25">
      <c r="B202" s="635">
        <v>9401690000</v>
      </c>
      <c r="C202" s="636" t="s">
        <v>322</v>
      </c>
      <c r="D202" s="637">
        <v>306271.6599999998</v>
      </c>
    </row>
    <row r="203" spans="2:4" ht="15" x14ac:dyDescent="0.25">
      <c r="B203" s="635">
        <v>9403300000</v>
      </c>
      <c r="C203" s="636" t="s">
        <v>413</v>
      </c>
      <c r="D203" s="637">
        <v>69520.98000000001</v>
      </c>
    </row>
    <row r="204" spans="2:4" ht="14.1" customHeight="1" x14ac:dyDescent="0.25">
      <c r="B204" s="635">
        <v>9403400000</v>
      </c>
      <c r="C204" s="636" t="s">
        <v>414</v>
      </c>
      <c r="D204" s="637">
        <v>65371.74</v>
      </c>
    </row>
    <row r="205" spans="2:4" ht="14.1" customHeight="1" x14ac:dyDescent="0.25">
      <c r="B205" s="635">
        <v>9403500000</v>
      </c>
      <c r="C205" s="636" t="s">
        <v>415</v>
      </c>
      <c r="D205" s="637">
        <v>657703.66999999993</v>
      </c>
    </row>
    <row r="206" spans="2:4" ht="14.1" customHeight="1" x14ac:dyDescent="0.25">
      <c r="B206" s="635">
        <v>9403600000</v>
      </c>
      <c r="C206" s="636" t="s">
        <v>416</v>
      </c>
      <c r="D206" s="637">
        <v>2809526.5799999982</v>
      </c>
    </row>
    <row r="207" spans="2:4" ht="14.1" customHeight="1" x14ac:dyDescent="0.25">
      <c r="B207" s="635">
        <v>9620000020</v>
      </c>
      <c r="C207" s="636" t="s">
        <v>466</v>
      </c>
      <c r="D207" s="637">
        <v>995.92000000000007</v>
      </c>
    </row>
    <row r="208" spans="2:4" ht="14.1" customHeight="1" x14ac:dyDescent="0.25">
      <c r="B208" s="628" t="s">
        <v>2247</v>
      </c>
      <c r="C208" s="629"/>
      <c r="D208" s="630">
        <v>217810671.53999993</v>
      </c>
    </row>
    <row r="209" spans="2:2" ht="14.1" customHeight="1" x14ac:dyDescent="0.25">
      <c r="B209" s="153" t="s">
        <v>327</v>
      </c>
    </row>
  </sheetData>
  <mergeCells count="6">
    <mergeCell ref="B109:C109"/>
    <mergeCell ref="B16:C16"/>
    <mergeCell ref="B24:C24"/>
    <mergeCell ref="B27:C27"/>
    <mergeCell ref="B30:C30"/>
    <mergeCell ref="B37:C37"/>
  </mergeCells>
  <hyperlinks>
    <hyperlink ref="A1" location="INDICE!A1" display="(Ir al Índice)" xr:uid="{46BE20C1-B02E-44D1-B31C-902D6F9A05C4}"/>
  </hyperlink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9578-E7F7-4A63-B048-BD5A1BBC4F44}">
  <sheetPr>
    <tabColor theme="4"/>
  </sheetPr>
  <dimension ref="A1:K295"/>
  <sheetViews>
    <sheetView showGridLines="0" topLeftCell="A13" workbookViewId="0">
      <selection activeCell="H49" sqref="H49"/>
    </sheetView>
  </sheetViews>
  <sheetFormatPr baseColWidth="10" defaultColWidth="11.42578125" defaultRowHeight="15" x14ac:dyDescent="0.25"/>
  <cols>
    <col min="1" max="1" width="4.28515625" style="103" customWidth="1"/>
    <col min="2" max="2" width="16" style="164" customWidth="1"/>
    <col min="3" max="3" width="56.85546875" style="165" customWidth="1"/>
    <col min="4" max="4" width="15.28515625" style="166" customWidth="1"/>
    <col min="5" max="7" width="11.42578125" style="151"/>
    <col min="8" max="8" width="44.5703125" style="151" customWidth="1"/>
    <col min="9" max="9" width="22.7109375" style="151" customWidth="1"/>
    <col min="10" max="16384" width="11.42578125" style="151"/>
  </cols>
  <sheetData>
    <row r="1" spans="1:9" x14ac:dyDescent="0.25">
      <c r="A1" s="78" t="s">
        <v>43</v>
      </c>
    </row>
    <row r="2" spans="1:9" x14ac:dyDescent="0.25">
      <c r="A2" s="93"/>
    </row>
    <row r="3" spans="1:9" x14ac:dyDescent="0.25">
      <c r="A3" s="93"/>
      <c r="B3" s="102" t="s">
        <v>38</v>
      </c>
    </row>
    <row r="4" spans="1:9" x14ac:dyDescent="0.25">
      <c r="A4" s="93"/>
    </row>
    <row r="5" spans="1:9" x14ac:dyDescent="0.25">
      <c r="B5" s="167" t="s">
        <v>2248</v>
      </c>
      <c r="C5" s="152"/>
      <c r="D5" s="152"/>
      <c r="H5" s="152" t="s">
        <v>2249</v>
      </c>
    </row>
    <row r="6" spans="1:9" ht="24" x14ac:dyDescent="0.25">
      <c r="B6" s="648" t="s">
        <v>317</v>
      </c>
      <c r="C6" s="627" t="s">
        <v>318</v>
      </c>
      <c r="D6" s="627" t="s">
        <v>417</v>
      </c>
      <c r="H6" s="627" t="s">
        <v>318</v>
      </c>
      <c r="I6" s="627" t="s">
        <v>417</v>
      </c>
    </row>
    <row r="7" spans="1:9" x14ac:dyDescent="0.25">
      <c r="B7" s="654"/>
      <c r="C7" s="654"/>
      <c r="D7" s="654"/>
      <c r="H7" s="664" t="s">
        <v>361</v>
      </c>
      <c r="I7" s="665">
        <v>614237594.60000002</v>
      </c>
    </row>
    <row r="8" spans="1:9" x14ac:dyDescent="0.25">
      <c r="B8" s="657" t="s">
        <v>2250</v>
      </c>
      <c r="C8" s="657"/>
      <c r="D8" s="658">
        <v>341635.96</v>
      </c>
      <c r="H8" s="664" t="s">
        <v>324</v>
      </c>
      <c r="I8" s="665">
        <v>74924083.869999915</v>
      </c>
    </row>
    <row r="9" spans="1:9" x14ac:dyDescent="0.25">
      <c r="A9" s="106"/>
      <c r="B9" s="655">
        <v>4401110000</v>
      </c>
      <c r="C9" s="655" t="s">
        <v>359</v>
      </c>
      <c r="D9" s="656">
        <v>778.74</v>
      </c>
      <c r="H9" s="664" t="s">
        <v>343</v>
      </c>
      <c r="I9" s="665">
        <v>45732493.82000003</v>
      </c>
    </row>
    <row r="10" spans="1:9" x14ac:dyDescent="0.25">
      <c r="A10" s="106"/>
      <c r="B10" s="655">
        <v>4401120000</v>
      </c>
      <c r="C10" s="655" t="s">
        <v>321</v>
      </c>
      <c r="D10" s="656">
        <v>4468.97</v>
      </c>
      <c r="H10" s="664" t="s">
        <v>145</v>
      </c>
      <c r="I10" s="665">
        <v>36846155.329999916</v>
      </c>
    </row>
    <row r="11" spans="1:9" x14ac:dyDescent="0.25">
      <c r="A11" s="106"/>
      <c r="B11" s="655">
        <v>4401210000</v>
      </c>
      <c r="C11" s="655" t="s">
        <v>359</v>
      </c>
      <c r="D11" s="656">
        <v>33369.85</v>
      </c>
      <c r="H11" s="664" t="s">
        <v>323</v>
      </c>
      <c r="I11" s="665">
        <v>21097334.910000004</v>
      </c>
    </row>
    <row r="12" spans="1:9" ht="13.5" customHeight="1" x14ac:dyDescent="0.25">
      <c r="A12" s="106"/>
      <c r="B12" s="655">
        <v>4401220000</v>
      </c>
      <c r="C12" s="655" t="s">
        <v>321</v>
      </c>
      <c r="D12" s="656">
        <v>105515.28000000001</v>
      </c>
      <c r="H12" s="664" t="s">
        <v>325</v>
      </c>
      <c r="I12" s="665">
        <v>19611057.800000023</v>
      </c>
    </row>
    <row r="13" spans="1:9" x14ac:dyDescent="0.25">
      <c r="A13" s="106"/>
      <c r="B13" s="655">
        <v>4401310000</v>
      </c>
      <c r="C13" s="655" t="s">
        <v>418</v>
      </c>
      <c r="D13" s="656">
        <v>148413.12</v>
      </c>
      <c r="H13" s="662" t="s">
        <v>336</v>
      </c>
      <c r="I13" s="663">
        <v>195129124.01999989</v>
      </c>
    </row>
    <row r="14" spans="1:9" x14ac:dyDescent="0.25">
      <c r="A14" s="106"/>
      <c r="B14" s="655">
        <v>4401390000</v>
      </c>
      <c r="C14" s="655" t="s">
        <v>322</v>
      </c>
      <c r="D14" s="656">
        <v>49090.000000000007</v>
      </c>
      <c r="H14" s="662" t="s">
        <v>432</v>
      </c>
      <c r="I14" s="663">
        <v>120966279.23999992</v>
      </c>
    </row>
    <row r="15" spans="1:9" x14ac:dyDescent="0.25">
      <c r="A15" s="106"/>
      <c r="B15" s="654"/>
      <c r="C15" s="654"/>
      <c r="D15" s="654"/>
      <c r="H15" s="662" t="s">
        <v>439</v>
      </c>
      <c r="I15" s="663">
        <v>13641476.229999995</v>
      </c>
    </row>
    <row r="16" spans="1:9" x14ac:dyDescent="0.25">
      <c r="A16" s="106"/>
      <c r="B16" s="657" t="s">
        <v>2251</v>
      </c>
      <c r="C16" s="657"/>
      <c r="D16" s="658">
        <v>647989.73999999941</v>
      </c>
      <c r="H16" s="664" t="s">
        <v>133</v>
      </c>
      <c r="I16" s="665">
        <v>2104174.209999999</v>
      </c>
    </row>
    <row r="17" spans="1:11" x14ac:dyDescent="0.25">
      <c r="A17" s="106"/>
      <c r="B17" s="655">
        <v>4402900000</v>
      </c>
      <c r="C17" s="655" t="s">
        <v>322</v>
      </c>
      <c r="D17" s="656">
        <v>647989.73999999941</v>
      </c>
      <c r="H17" s="649" t="s">
        <v>2247</v>
      </c>
      <c r="I17" s="647">
        <v>1144289774.0299997</v>
      </c>
    </row>
    <row r="18" spans="1:11" x14ac:dyDescent="0.25">
      <c r="A18" s="106"/>
      <c r="B18" s="654"/>
      <c r="C18" s="654"/>
      <c r="D18" s="654"/>
      <c r="H18" s="161"/>
      <c r="I18" s="161"/>
      <c r="K18" s="160"/>
    </row>
    <row r="19" spans="1:11" x14ac:dyDescent="0.25">
      <c r="A19" s="106"/>
      <c r="B19" s="657" t="s">
        <v>325</v>
      </c>
      <c r="C19" s="657"/>
      <c r="D19" s="658">
        <v>19611057.800000023</v>
      </c>
      <c r="H19" s="162" t="s">
        <v>329</v>
      </c>
      <c r="I19" s="161"/>
    </row>
    <row r="20" spans="1:11" x14ac:dyDescent="0.25">
      <c r="A20" s="106"/>
      <c r="B20" s="655">
        <v>4403110000</v>
      </c>
      <c r="C20" s="655" t="s">
        <v>359</v>
      </c>
      <c r="D20" s="656">
        <v>19250943.830000024</v>
      </c>
      <c r="H20" s="163" t="s">
        <v>2262</v>
      </c>
      <c r="I20" s="161"/>
    </row>
    <row r="21" spans="1:11" x14ac:dyDescent="0.25">
      <c r="A21" s="106"/>
      <c r="B21" s="655">
        <v>4403120000</v>
      </c>
      <c r="C21" s="655" t="s">
        <v>321</v>
      </c>
      <c r="D21" s="656">
        <v>5480.57</v>
      </c>
      <c r="H21" s="162"/>
      <c r="I21" s="161"/>
    </row>
    <row r="22" spans="1:11" x14ac:dyDescent="0.25">
      <c r="A22" s="106"/>
      <c r="B22" s="655">
        <v>4403210000</v>
      </c>
      <c r="C22" s="655" t="s">
        <v>2252</v>
      </c>
      <c r="D22" s="656">
        <v>82147.510000000009</v>
      </c>
      <c r="I22" s="161"/>
    </row>
    <row r="23" spans="1:11" x14ac:dyDescent="0.25">
      <c r="A23" s="106"/>
      <c r="B23" s="655">
        <v>4403220000</v>
      </c>
      <c r="C23" s="655" t="s">
        <v>2253</v>
      </c>
      <c r="D23" s="656">
        <v>243926.49</v>
      </c>
    </row>
    <row r="24" spans="1:11" x14ac:dyDescent="0.25">
      <c r="A24" s="106"/>
      <c r="B24" s="655">
        <v>4403250000</v>
      </c>
      <c r="C24" s="655" t="s">
        <v>2254</v>
      </c>
      <c r="D24" s="656">
        <v>28559.4</v>
      </c>
    </row>
    <row r="25" spans="1:11" x14ac:dyDescent="0.25">
      <c r="A25" s="106"/>
      <c r="B25" s="173"/>
      <c r="C25" s="169"/>
      <c r="D25" s="175"/>
      <c r="H25" s="161"/>
      <c r="I25" s="161"/>
    </row>
    <row r="26" spans="1:11" x14ac:dyDescent="0.25">
      <c r="A26" s="106"/>
      <c r="B26" s="653" t="s">
        <v>2255</v>
      </c>
      <c r="C26" s="653"/>
      <c r="D26" s="658">
        <v>72655.11</v>
      </c>
      <c r="H26" s="161"/>
      <c r="I26" s="161"/>
    </row>
    <row r="27" spans="1:11" x14ac:dyDescent="0.25">
      <c r="A27" s="106"/>
      <c r="B27" s="655">
        <v>4404100000</v>
      </c>
      <c r="C27" s="655" t="s">
        <v>359</v>
      </c>
      <c r="D27" s="656">
        <v>42915.85</v>
      </c>
      <c r="H27" s="161"/>
      <c r="I27" s="161"/>
    </row>
    <row r="28" spans="1:11" x14ac:dyDescent="0.25">
      <c r="A28" s="106"/>
      <c r="B28" s="655">
        <v>4404200000</v>
      </c>
      <c r="C28" s="655" t="s">
        <v>321</v>
      </c>
      <c r="D28" s="656">
        <v>29739.26</v>
      </c>
    </row>
    <row r="29" spans="1:11" x14ac:dyDescent="0.25">
      <c r="A29" s="106"/>
      <c r="B29" s="173"/>
      <c r="C29" s="169"/>
      <c r="D29" s="175"/>
      <c r="H29" s="161"/>
      <c r="I29" s="161"/>
    </row>
    <row r="30" spans="1:11" x14ac:dyDescent="0.25">
      <c r="A30" s="106"/>
      <c r="B30" s="657" t="s">
        <v>330</v>
      </c>
      <c r="C30" s="657"/>
      <c r="D30" s="658">
        <v>10346.43</v>
      </c>
      <c r="H30" s="161"/>
      <c r="I30" s="161"/>
    </row>
    <row r="31" spans="1:11" x14ac:dyDescent="0.25">
      <c r="A31" s="106"/>
      <c r="B31" s="655">
        <v>4405000000</v>
      </c>
      <c r="C31" s="655" t="s">
        <v>330</v>
      </c>
      <c r="D31" s="656">
        <v>10346.43</v>
      </c>
    </row>
    <row r="32" spans="1:11" x14ac:dyDescent="0.25">
      <c r="A32" s="106"/>
      <c r="B32" s="173"/>
      <c r="C32" s="169"/>
      <c r="D32" s="175"/>
      <c r="H32" s="161"/>
      <c r="I32" s="161"/>
    </row>
    <row r="33" spans="1:9" x14ac:dyDescent="0.25">
      <c r="A33" s="106"/>
      <c r="B33" s="657" t="s">
        <v>421</v>
      </c>
      <c r="C33" s="657"/>
      <c r="D33" s="658">
        <v>226128.68</v>
      </c>
      <c r="H33" s="161"/>
      <c r="I33" s="161"/>
    </row>
    <row r="34" spans="1:9" x14ac:dyDescent="0.25">
      <c r="A34" s="106"/>
      <c r="B34" s="655">
        <v>4406910000</v>
      </c>
      <c r="C34" s="655" t="s">
        <v>359</v>
      </c>
      <c r="D34" s="656">
        <v>23638.959999999999</v>
      </c>
      <c r="H34" s="161"/>
      <c r="I34" s="161"/>
    </row>
    <row r="35" spans="1:9" x14ac:dyDescent="0.25">
      <c r="A35" s="106"/>
      <c r="B35" s="655">
        <v>4406920000</v>
      </c>
      <c r="C35" s="655" t="s">
        <v>422</v>
      </c>
      <c r="D35" s="656">
        <v>202489.72</v>
      </c>
      <c r="H35" s="161"/>
      <c r="I35" s="161"/>
    </row>
    <row r="36" spans="1:9" x14ac:dyDescent="0.25">
      <c r="A36" s="106"/>
      <c r="B36" s="173"/>
      <c r="C36" s="184"/>
      <c r="D36" s="175"/>
      <c r="H36" s="161"/>
      <c r="I36" s="161"/>
    </row>
    <row r="37" spans="1:9" x14ac:dyDescent="0.25">
      <c r="A37" s="106"/>
      <c r="B37" s="657" t="s">
        <v>423</v>
      </c>
      <c r="C37" s="657"/>
      <c r="D37" s="658">
        <v>36846155.329999916</v>
      </c>
      <c r="H37" s="161"/>
      <c r="I37" s="161"/>
    </row>
    <row r="38" spans="1:9" x14ac:dyDescent="0.25">
      <c r="A38" s="106"/>
      <c r="B38" s="655">
        <v>4407111000</v>
      </c>
      <c r="C38" s="655" t="s">
        <v>595</v>
      </c>
      <c r="D38" s="656">
        <v>34487.96</v>
      </c>
      <c r="H38" s="161"/>
      <c r="I38" s="161"/>
    </row>
    <row r="39" spans="1:9" x14ac:dyDescent="0.25">
      <c r="A39" s="106"/>
      <c r="B39" s="655">
        <v>4407119000</v>
      </c>
      <c r="C39" s="655" t="s">
        <v>326</v>
      </c>
      <c r="D39" s="656">
        <v>33193167.399999917</v>
      </c>
      <c r="H39" s="161"/>
      <c r="I39" s="161"/>
    </row>
    <row r="40" spans="1:9" x14ac:dyDescent="0.25">
      <c r="A40" s="106"/>
      <c r="B40" s="655">
        <v>4407120000</v>
      </c>
      <c r="C40" s="655" t="s">
        <v>2256</v>
      </c>
      <c r="D40" s="656">
        <v>1161114.0100000009</v>
      </c>
      <c r="H40" s="161"/>
      <c r="I40" s="161"/>
    </row>
    <row r="41" spans="1:9" x14ac:dyDescent="0.25">
      <c r="A41" s="106"/>
      <c r="B41" s="655">
        <v>4407199000</v>
      </c>
      <c r="C41" s="655" t="s">
        <v>326</v>
      </c>
      <c r="D41" s="656">
        <v>2204001.6399999992</v>
      </c>
      <c r="H41" s="161"/>
      <c r="I41" s="161"/>
    </row>
    <row r="42" spans="1:9" x14ac:dyDescent="0.25">
      <c r="A42" s="106"/>
      <c r="B42" s="655">
        <v>4407299000</v>
      </c>
      <c r="C42" s="655" t="s">
        <v>326</v>
      </c>
      <c r="D42" s="656">
        <v>48799.61</v>
      </c>
      <c r="H42" s="161"/>
      <c r="I42" s="161"/>
    </row>
    <row r="43" spans="1:9" x14ac:dyDescent="0.25">
      <c r="A43" s="106"/>
      <c r="B43" s="655">
        <v>4407910000</v>
      </c>
      <c r="C43" s="655" t="s">
        <v>2257</v>
      </c>
      <c r="D43" s="656">
        <v>66593.7</v>
      </c>
      <c r="H43" s="161"/>
      <c r="I43" s="161"/>
    </row>
    <row r="44" spans="1:9" x14ac:dyDescent="0.25">
      <c r="A44" s="106"/>
      <c r="B44" s="655">
        <v>4407920000</v>
      </c>
      <c r="C44" s="655" t="s">
        <v>2258</v>
      </c>
      <c r="D44" s="656">
        <v>33004.910000000003</v>
      </c>
      <c r="H44" s="161"/>
      <c r="I44" s="161"/>
    </row>
    <row r="45" spans="1:9" x14ac:dyDescent="0.25">
      <c r="A45" s="106"/>
      <c r="B45" s="655">
        <v>4407990000</v>
      </c>
      <c r="C45" s="655" t="s">
        <v>326</v>
      </c>
      <c r="D45" s="656">
        <v>104986.09999999999</v>
      </c>
      <c r="H45" s="161"/>
      <c r="I45" s="161"/>
    </row>
    <row r="46" spans="1:9" x14ac:dyDescent="0.25">
      <c r="A46" s="106"/>
      <c r="B46" s="173"/>
      <c r="C46" s="169"/>
      <c r="D46" s="175"/>
      <c r="H46" s="161"/>
      <c r="I46" s="161"/>
    </row>
    <row r="47" spans="1:9" x14ac:dyDescent="0.25">
      <c r="A47" s="106"/>
      <c r="B47" s="657" t="s">
        <v>332</v>
      </c>
      <c r="C47" s="657"/>
      <c r="D47" s="658">
        <v>453587.4699999998</v>
      </c>
      <c r="H47" s="161"/>
      <c r="I47" s="161"/>
    </row>
    <row r="48" spans="1:9" x14ac:dyDescent="0.25">
      <c r="A48" s="106"/>
      <c r="B48" s="655">
        <v>4408109000</v>
      </c>
      <c r="C48" s="655" t="s">
        <v>326</v>
      </c>
      <c r="D48" s="656">
        <v>53849.16</v>
      </c>
      <c r="H48" s="161"/>
      <c r="I48" s="161"/>
    </row>
    <row r="49" spans="1:9" x14ac:dyDescent="0.25">
      <c r="A49" s="106"/>
      <c r="B49" s="655">
        <v>4408399000</v>
      </c>
      <c r="C49" s="655" t="s">
        <v>326</v>
      </c>
      <c r="D49" s="656">
        <v>98921.119999999981</v>
      </c>
      <c r="H49" s="161"/>
      <c r="I49" s="161"/>
    </row>
    <row r="50" spans="1:9" x14ac:dyDescent="0.25">
      <c r="A50" s="106"/>
      <c r="B50" s="655">
        <v>4408900000</v>
      </c>
      <c r="C50" s="655" t="s">
        <v>326</v>
      </c>
      <c r="D50" s="656">
        <v>300817.18999999983</v>
      </c>
      <c r="H50" s="161"/>
      <c r="I50" s="161"/>
    </row>
    <row r="51" spans="1:9" x14ac:dyDescent="0.25">
      <c r="A51" s="106"/>
      <c r="B51" s="168"/>
      <c r="C51" s="169"/>
      <c r="D51" s="170"/>
      <c r="H51" s="161"/>
      <c r="I51" s="161"/>
    </row>
    <row r="52" spans="1:9" x14ac:dyDescent="0.25">
      <c r="A52" s="106"/>
      <c r="B52" s="657" t="s">
        <v>333</v>
      </c>
      <c r="C52" s="657"/>
      <c r="D52" s="658">
        <v>127683.09999999999</v>
      </c>
      <c r="H52" s="161"/>
      <c r="I52" s="161"/>
    </row>
    <row r="53" spans="1:9" x14ac:dyDescent="0.25">
      <c r="A53" s="106"/>
      <c r="B53" s="655">
        <v>4409102000</v>
      </c>
      <c r="C53" s="655" t="s">
        <v>334</v>
      </c>
      <c r="D53" s="656">
        <v>24711.25</v>
      </c>
    </row>
    <row r="54" spans="1:9" x14ac:dyDescent="0.25">
      <c r="A54" s="106"/>
      <c r="B54" s="655">
        <v>4409109000</v>
      </c>
      <c r="C54" s="655" t="s">
        <v>326</v>
      </c>
      <c r="D54" s="656">
        <v>66322.81</v>
      </c>
    </row>
    <row r="55" spans="1:9" x14ac:dyDescent="0.25">
      <c r="A55" s="117"/>
      <c r="B55" s="655">
        <v>4409291000</v>
      </c>
      <c r="C55" s="655" t="s">
        <v>335</v>
      </c>
      <c r="D55" s="656">
        <v>22896.48</v>
      </c>
    </row>
    <row r="56" spans="1:9" x14ac:dyDescent="0.25">
      <c r="A56" s="117"/>
      <c r="B56" s="655">
        <v>4409299000</v>
      </c>
      <c r="C56" s="655" t="s">
        <v>326</v>
      </c>
      <c r="D56" s="656">
        <v>13752.56</v>
      </c>
    </row>
    <row r="57" spans="1:9" x14ac:dyDescent="0.25">
      <c r="A57" s="117"/>
      <c r="B57" s="173"/>
      <c r="C57" s="169"/>
      <c r="D57" s="175"/>
    </row>
    <row r="58" spans="1:9" x14ac:dyDescent="0.25">
      <c r="A58" s="117"/>
      <c r="B58" s="659" t="s">
        <v>336</v>
      </c>
      <c r="C58" s="657"/>
      <c r="D58" s="658">
        <v>195129124.01999989</v>
      </c>
    </row>
    <row r="59" spans="1:9" x14ac:dyDescent="0.25">
      <c r="A59" s="117"/>
      <c r="B59" s="655">
        <v>4410110000</v>
      </c>
      <c r="C59" s="655" t="s">
        <v>337</v>
      </c>
      <c r="D59" s="656">
        <v>65830981.669999838</v>
      </c>
    </row>
    <row r="60" spans="1:9" x14ac:dyDescent="0.25">
      <c r="A60" s="117"/>
      <c r="B60" s="655">
        <v>4410120000</v>
      </c>
      <c r="C60" s="655" t="s">
        <v>338</v>
      </c>
      <c r="D60" s="656">
        <v>19167637.940000024</v>
      </c>
    </row>
    <row r="61" spans="1:9" x14ac:dyDescent="0.25">
      <c r="A61" s="117"/>
      <c r="B61" s="655">
        <v>4410190000</v>
      </c>
      <c r="C61" s="655" t="s">
        <v>322</v>
      </c>
      <c r="D61" s="656">
        <v>69490594.590000063</v>
      </c>
    </row>
    <row r="62" spans="1:9" x14ac:dyDescent="0.25">
      <c r="A62" s="117"/>
      <c r="B62" s="655">
        <v>4410900000</v>
      </c>
      <c r="C62" s="655" t="s">
        <v>322</v>
      </c>
      <c r="D62" s="656">
        <v>30788.829999999998</v>
      </c>
    </row>
    <row r="63" spans="1:9" x14ac:dyDescent="0.25">
      <c r="A63" s="117"/>
      <c r="B63" s="655">
        <v>4411120000</v>
      </c>
      <c r="C63" s="655" t="s">
        <v>339</v>
      </c>
      <c r="D63" s="656">
        <v>15735336.789999997</v>
      </c>
    </row>
    <row r="64" spans="1:9" x14ac:dyDescent="0.25">
      <c r="A64" s="117"/>
      <c r="B64" s="655">
        <v>4411130000</v>
      </c>
      <c r="C64" s="655" t="s">
        <v>424</v>
      </c>
      <c r="D64" s="656">
        <v>5292699.4100000011</v>
      </c>
    </row>
    <row r="65" spans="1:4" x14ac:dyDescent="0.25">
      <c r="A65" s="117"/>
      <c r="B65" s="655">
        <v>4411140000</v>
      </c>
      <c r="C65" s="655" t="s">
        <v>340</v>
      </c>
      <c r="D65" s="656">
        <v>10389497.569999998</v>
      </c>
    </row>
    <row r="66" spans="1:4" x14ac:dyDescent="0.25">
      <c r="A66" s="117"/>
      <c r="B66" s="655">
        <v>4411920000</v>
      </c>
      <c r="C66" s="655" t="s">
        <v>341</v>
      </c>
      <c r="D66" s="656">
        <v>8646744.7399999946</v>
      </c>
    </row>
    <row r="67" spans="1:4" x14ac:dyDescent="0.25">
      <c r="A67" s="117"/>
      <c r="B67" s="655">
        <v>4411930000</v>
      </c>
      <c r="C67" s="655" t="s">
        <v>342</v>
      </c>
      <c r="D67" s="656">
        <v>543826.10000000009</v>
      </c>
    </row>
    <row r="68" spans="1:4" x14ac:dyDescent="0.25">
      <c r="A68" s="117"/>
      <c r="B68" s="655">
        <v>4411940000</v>
      </c>
      <c r="C68" s="655" t="s">
        <v>425</v>
      </c>
      <c r="D68" s="656">
        <v>1016.38</v>
      </c>
    </row>
    <row r="69" spans="1:4" x14ac:dyDescent="0.25">
      <c r="A69" s="117"/>
      <c r="B69" s="173"/>
      <c r="C69" s="169"/>
      <c r="D69" s="175"/>
    </row>
    <row r="70" spans="1:4" x14ac:dyDescent="0.25">
      <c r="A70" s="117"/>
      <c r="B70" s="657" t="s">
        <v>343</v>
      </c>
      <c r="C70" s="657"/>
      <c r="D70" s="658">
        <v>45732493.82000003</v>
      </c>
    </row>
    <row r="71" spans="1:4" x14ac:dyDescent="0.25">
      <c r="A71" s="117"/>
      <c r="B71" s="655">
        <v>4412310000</v>
      </c>
      <c r="C71" s="655" t="s">
        <v>344</v>
      </c>
      <c r="D71" s="656">
        <v>3561409.1700000004</v>
      </c>
    </row>
    <row r="72" spans="1:4" x14ac:dyDescent="0.25">
      <c r="A72" s="117"/>
      <c r="B72" s="655">
        <v>4412330000</v>
      </c>
      <c r="C72" s="655" t="s">
        <v>2246</v>
      </c>
      <c r="D72" s="656">
        <v>35066903.660000026</v>
      </c>
    </row>
    <row r="73" spans="1:4" x14ac:dyDescent="0.25">
      <c r="A73" s="117"/>
      <c r="B73" s="655">
        <v>4412340000</v>
      </c>
      <c r="C73" s="655" t="s">
        <v>345</v>
      </c>
      <c r="D73" s="656">
        <v>82262.459999999992</v>
      </c>
    </row>
    <row r="74" spans="1:4" x14ac:dyDescent="0.25">
      <c r="A74" s="117"/>
      <c r="B74" s="655">
        <v>4412390000</v>
      </c>
      <c r="C74" s="655" t="s">
        <v>346</v>
      </c>
      <c r="D74" s="656">
        <v>5229438.9700000016</v>
      </c>
    </row>
    <row r="75" spans="1:4" x14ac:dyDescent="0.25">
      <c r="A75" s="117"/>
      <c r="B75" s="655">
        <v>4412990000</v>
      </c>
      <c r="C75" s="655" t="s">
        <v>326</v>
      </c>
      <c r="D75" s="656">
        <v>1792479.5599999996</v>
      </c>
    </row>
    <row r="76" spans="1:4" x14ac:dyDescent="0.25">
      <c r="A76" s="117"/>
      <c r="B76" s="173"/>
      <c r="C76" s="169"/>
      <c r="D76" s="175"/>
    </row>
    <row r="77" spans="1:4" x14ac:dyDescent="0.25">
      <c r="A77" s="117"/>
      <c r="B77" s="657" t="s">
        <v>426</v>
      </c>
      <c r="C77" s="657"/>
      <c r="D77" s="658">
        <v>88008.469999999987</v>
      </c>
    </row>
    <row r="78" spans="1:4" x14ac:dyDescent="0.25">
      <c r="A78" s="117"/>
      <c r="B78" s="655">
        <v>4413000000</v>
      </c>
      <c r="C78" s="655" t="s">
        <v>347</v>
      </c>
      <c r="D78" s="656">
        <v>88008.469999999987</v>
      </c>
    </row>
    <row r="79" spans="1:4" x14ac:dyDescent="0.25">
      <c r="A79" s="117"/>
      <c r="B79" s="173"/>
      <c r="C79" s="169"/>
      <c r="D79" s="175"/>
    </row>
    <row r="80" spans="1:4" x14ac:dyDescent="0.25">
      <c r="A80" s="117"/>
      <c r="B80" s="657" t="s">
        <v>323</v>
      </c>
      <c r="C80" s="657"/>
      <c r="D80" s="658">
        <v>21097334.910000004</v>
      </c>
    </row>
    <row r="81" spans="1:4" x14ac:dyDescent="0.25">
      <c r="A81" s="117"/>
      <c r="B81" s="655">
        <v>4415100000</v>
      </c>
      <c r="C81" s="655" t="s">
        <v>348</v>
      </c>
      <c r="D81" s="656">
        <v>1918281.9200000009</v>
      </c>
    </row>
    <row r="82" spans="1:4" x14ac:dyDescent="0.25">
      <c r="A82" s="117"/>
      <c r="B82" s="655">
        <v>4415200000</v>
      </c>
      <c r="C82" s="655" t="s">
        <v>349</v>
      </c>
      <c r="D82" s="656">
        <v>1722215.65</v>
      </c>
    </row>
    <row r="83" spans="1:4" x14ac:dyDescent="0.25">
      <c r="A83" s="106"/>
      <c r="B83" s="655">
        <v>4416000000</v>
      </c>
      <c r="C83" s="655" t="s">
        <v>427</v>
      </c>
      <c r="D83" s="656">
        <v>382086.15999999992</v>
      </c>
    </row>
    <row r="84" spans="1:4" x14ac:dyDescent="0.25">
      <c r="A84" s="106"/>
      <c r="B84" s="655">
        <v>4417001000</v>
      </c>
      <c r="C84" s="655" t="s">
        <v>350</v>
      </c>
      <c r="D84" s="656">
        <v>38940.75</v>
      </c>
    </row>
    <row r="85" spans="1:4" x14ac:dyDescent="0.25">
      <c r="A85" s="106"/>
      <c r="B85" s="655">
        <v>4417009000</v>
      </c>
      <c r="C85" s="655" t="s">
        <v>322</v>
      </c>
      <c r="D85" s="656">
        <v>2261779.5000000014</v>
      </c>
    </row>
    <row r="86" spans="1:4" x14ac:dyDescent="0.25">
      <c r="A86" s="117"/>
      <c r="B86" s="655">
        <v>4418400000</v>
      </c>
      <c r="C86" s="655" t="s">
        <v>351</v>
      </c>
      <c r="D86" s="656">
        <v>877389.09000000008</v>
      </c>
    </row>
    <row r="87" spans="1:4" x14ac:dyDescent="0.25">
      <c r="A87" s="117"/>
      <c r="B87" s="655">
        <v>4418500000</v>
      </c>
      <c r="C87" s="655" t="s">
        <v>2259</v>
      </c>
      <c r="D87" s="656">
        <v>2193.58</v>
      </c>
    </row>
    <row r="88" spans="1:4" x14ac:dyDescent="0.25">
      <c r="A88" s="117"/>
      <c r="B88" s="655">
        <v>4418740000</v>
      </c>
      <c r="C88" s="655" t="s">
        <v>352</v>
      </c>
      <c r="D88" s="656">
        <v>3079.59</v>
      </c>
    </row>
    <row r="89" spans="1:4" x14ac:dyDescent="0.25">
      <c r="A89" s="117"/>
      <c r="B89" s="655">
        <v>4418750000</v>
      </c>
      <c r="C89" s="655" t="s">
        <v>429</v>
      </c>
      <c r="D89" s="656">
        <v>431464.68</v>
      </c>
    </row>
    <row r="90" spans="1:4" x14ac:dyDescent="0.25">
      <c r="A90" s="117"/>
      <c r="B90" s="655">
        <v>4418790000</v>
      </c>
      <c r="C90" s="655" t="s">
        <v>322</v>
      </c>
      <c r="D90" s="656">
        <v>1586698.6499999997</v>
      </c>
    </row>
    <row r="91" spans="1:4" x14ac:dyDescent="0.25">
      <c r="A91" s="117"/>
      <c r="B91" s="655">
        <v>4418919000</v>
      </c>
      <c r="C91" s="655" t="s">
        <v>326</v>
      </c>
      <c r="D91" s="656">
        <v>211877.04000000004</v>
      </c>
    </row>
    <row r="92" spans="1:4" x14ac:dyDescent="0.25">
      <c r="A92" s="117"/>
      <c r="B92" s="655">
        <v>4419110000</v>
      </c>
      <c r="C92" s="655" t="s">
        <v>353</v>
      </c>
      <c r="D92" s="656">
        <v>525076.8400000002</v>
      </c>
    </row>
    <row r="93" spans="1:4" x14ac:dyDescent="0.25">
      <c r="A93" s="117"/>
      <c r="B93" s="655">
        <v>4419120000</v>
      </c>
      <c r="C93" s="655" t="s">
        <v>430</v>
      </c>
      <c r="D93" s="656">
        <v>325284.36000000004</v>
      </c>
    </row>
    <row r="94" spans="1:4" x14ac:dyDescent="0.25">
      <c r="A94" s="117"/>
      <c r="B94" s="655">
        <v>4419190000</v>
      </c>
      <c r="C94" s="655" t="s">
        <v>322</v>
      </c>
      <c r="D94" s="656">
        <v>431261.41000000003</v>
      </c>
    </row>
    <row r="95" spans="1:4" x14ac:dyDescent="0.25">
      <c r="A95" s="117"/>
      <c r="B95" s="655">
        <v>4419900000</v>
      </c>
      <c r="C95" s="655" t="s">
        <v>322</v>
      </c>
      <c r="D95" s="656">
        <v>900092.64999999944</v>
      </c>
    </row>
    <row r="96" spans="1:4" x14ac:dyDescent="0.25">
      <c r="A96" s="117"/>
      <c r="B96" s="655">
        <v>4420900000</v>
      </c>
      <c r="C96" s="655" t="s">
        <v>322</v>
      </c>
      <c r="D96" s="656">
        <v>1292609.400000002</v>
      </c>
    </row>
    <row r="97" spans="1:4" x14ac:dyDescent="0.25">
      <c r="A97" s="117"/>
      <c r="B97" s="655">
        <v>4421100000</v>
      </c>
      <c r="C97" s="655" t="s">
        <v>354</v>
      </c>
      <c r="D97" s="656">
        <v>776934.78999999969</v>
      </c>
    </row>
    <row r="98" spans="1:4" x14ac:dyDescent="0.25">
      <c r="A98" s="117"/>
      <c r="B98" s="655">
        <v>4421911000</v>
      </c>
      <c r="C98" s="655" t="s">
        <v>355</v>
      </c>
      <c r="D98" s="656">
        <v>3326.2999999999997</v>
      </c>
    </row>
    <row r="99" spans="1:4" x14ac:dyDescent="0.25">
      <c r="A99" s="117"/>
      <c r="B99" s="655">
        <v>4421912000</v>
      </c>
      <c r="C99" s="655" t="s">
        <v>356</v>
      </c>
      <c r="D99" s="656">
        <v>200401.25000000006</v>
      </c>
    </row>
    <row r="100" spans="1:4" x14ac:dyDescent="0.25">
      <c r="A100" s="117"/>
      <c r="B100" s="655">
        <v>4421913000</v>
      </c>
      <c r="C100" s="655" t="s">
        <v>357</v>
      </c>
      <c r="D100" s="656">
        <v>29985.439999999999</v>
      </c>
    </row>
    <row r="101" spans="1:4" x14ac:dyDescent="0.25">
      <c r="A101" s="117"/>
      <c r="B101" s="655">
        <v>4421919000</v>
      </c>
      <c r="C101" s="655" t="s">
        <v>326</v>
      </c>
      <c r="D101" s="656">
        <v>1007706.780000001</v>
      </c>
    </row>
    <row r="102" spans="1:4" x14ac:dyDescent="0.25">
      <c r="A102" s="117"/>
      <c r="B102" s="655">
        <v>4421991000</v>
      </c>
      <c r="C102" s="655" t="s">
        <v>355</v>
      </c>
      <c r="D102" s="656">
        <v>40933.39</v>
      </c>
    </row>
    <row r="103" spans="1:4" x14ac:dyDescent="0.25">
      <c r="A103" s="117"/>
      <c r="B103" s="655">
        <v>4421992000</v>
      </c>
      <c r="C103" s="655" t="s">
        <v>356</v>
      </c>
      <c r="D103" s="656">
        <v>14996.35</v>
      </c>
    </row>
    <row r="104" spans="1:4" x14ac:dyDescent="0.25">
      <c r="A104" s="117"/>
      <c r="B104" s="655">
        <v>4421993000</v>
      </c>
      <c r="C104" s="655" t="s">
        <v>357</v>
      </c>
      <c r="D104" s="656">
        <v>1482856.51</v>
      </c>
    </row>
    <row r="105" spans="1:4" x14ac:dyDescent="0.25">
      <c r="A105" s="117"/>
      <c r="B105" s="655">
        <v>4421994000</v>
      </c>
      <c r="C105" s="655" t="s">
        <v>431</v>
      </c>
      <c r="D105" s="656">
        <v>1718106.2499999998</v>
      </c>
    </row>
    <row r="106" spans="1:4" x14ac:dyDescent="0.25">
      <c r="A106" s="117"/>
      <c r="B106" s="655">
        <v>4421999000</v>
      </c>
      <c r="C106" s="655" t="s">
        <v>326</v>
      </c>
      <c r="D106" s="656">
        <v>2911756.5800000005</v>
      </c>
    </row>
    <row r="107" spans="1:4" x14ac:dyDescent="0.25">
      <c r="A107" s="117"/>
      <c r="B107" s="173"/>
      <c r="C107" s="169"/>
      <c r="D107" s="175"/>
    </row>
    <row r="108" spans="1:4" x14ac:dyDescent="0.25">
      <c r="A108" s="117"/>
      <c r="B108" s="657" t="s">
        <v>432</v>
      </c>
      <c r="C108" s="654"/>
      <c r="D108" s="658">
        <v>120966279.23999992</v>
      </c>
    </row>
    <row r="109" spans="1:4" ht="14.45" customHeight="1" x14ac:dyDescent="0.25">
      <c r="A109" s="117"/>
      <c r="B109" s="657" t="s">
        <v>433</v>
      </c>
      <c r="C109" s="654"/>
      <c r="D109" s="658">
        <v>637290.1399999999</v>
      </c>
    </row>
    <row r="110" spans="1:4" ht="17.25" customHeight="1" x14ac:dyDescent="0.25">
      <c r="A110" s="117"/>
      <c r="B110" s="655">
        <v>4701000000</v>
      </c>
      <c r="C110" s="655" t="s">
        <v>434</v>
      </c>
      <c r="D110" s="656">
        <v>637290.1399999999</v>
      </c>
    </row>
    <row r="111" spans="1:4" x14ac:dyDescent="0.25">
      <c r="A111" s="117"/>
      <c r="B111" s="176"/>
      <c r="C111" s="171"/>
      <c r="D111" s="172"/>
    </row>
    <row r="112" spans="1:4" x14ac:dyDescent="0.25">
      <c r="A112" s="117"/>
      <c r="B112" s="657" t="s">
        <v>358</v>
      </c>
      <c r="C112" s="654"/>
      <c r="D112" s="658">
        <v>120170502.67999992</v>
      </c>
    </row>
    <row r="113" spans="1:4" ht="14.45" customHeight="1" x14ac:dyDescent="0.25">
      <c r="A113" s="117"/>
      <c r="B113" s="655">
        <v>4703110000</v>
      </c>
      <c r="C113" s="655" t="s">
        <v>359</v>
      </c>
      <c r="D113" s="656">
        <v>2103696.86</v>
      </c>
    </row>
    <row r="114" spans="1:4" ht="21" customHeight="1" x14ac:dyDescent="0.25">
      <c r="A114" s="117"/>
      <c r="B114" s="655">
        <v>4703210000</v>
      </c>
      <c r="C114" s="655" t="s">
        <v>359</v>
      </c>
      <c r="D114" s="656">
        <v>20131362.489999998</v>
      </c>
    </row>
    <row r="115" spans="1:4" x14ac:dyDescent="0.25">
      <c r="A115" s="117"/>
      <c r="B115" s="655">
        <v>4703290000</v>
      </c>
      <c r="C115" s="655" t="s">
        <v>321</v>
      </c>
      <c r="D115" s="656">
        <v>97935443.329999924</v>
      </c>
    </row>
    <row r="116" spans="1:4" x14ac:dyDescent="0.25">
      <c r="B116" s="176"/>
      <c r="C116" s="171"/>
      <c r="D116" s="172"/>
    </row>
    <row r="117" spans="1:4" x14ac:dyDescent="0.25">
      <c r="B117" s="657" t="s">
        <v>435</v>
      </c>
      <c r="C117" s="657"/>
      <c r="D117" s="658">
        <v>158486.41999999998</v>
      </c>
    </row>
    <row r="118" spans="1:4" x14ac:dyDescent="0.25">
      <c r="B118" s="655">
        <v>4704290000</v>
      </c>
      <c r="C118" s="655" t="s">
        <v>321</v>
      </c>
      <c r="D118" s="656">
        <v>158486.41999999998</v>
      </c>
    </row>
    <row r="119" spans="1:4" x14ac:dyDescent="0.25">
      <c r="B119" s="176"/>
      <c r="C119" s="171"/>
      <c r="D119" s="172"/>
    </row>
    <row r="120" spans="1:4" x14ac:dyDescent="0.25">
      <c r="B120" s="657" t="s">
        <v>436</v>
      </c>
      <c r="C120" s="654"/>
      <c r="D120" s="658">
        <v>136139.25</v>
      </c>
    </row>
    <row r="121" spans="1:4" ht="14.45" customHeight="1" x14ac:dyDescent="0.25">
      <c r="B121" s="655">
        <v>4706200000</v>
      </c>
      <c r="C121" s="655" t="s">
        <v>437</v>
      </c>
      <c r="D121" s="656">
        <v>109371.23000000001</v>
      </c>
    </row>
    <row r="122" spans="1:4" x14ac:dyDescent="0.25">
      <c r="B122" s="655">
        <v>4706910000</v>
      </c>
      <c r="C122" s="655" t="s">
        <v>438</v>
      </c>
      <c r="D122" s="656">
        <v>13483.48</v>
      </c>
    </row>
    <row r="123" spans="1:4" x14ac:dyDescent="0.25">
      <c r="B123" s="655">
        <v>4706930000</v>
      </c>
      <c r="C123" s="655" t="s">
        <v>596</v>
      </c>
      <c r="D123" s="656">
        <v>13284.54</v>
      </c>
    </row>
    <row r="124" spans="1:4" x14ac:dyDescent="0.25">
      <c r="B124" s="176"/>
      <c r="C124" s="171"/>
      <c r="D124" s="172"/>
    </row>
    <row r="125" spans="1:4" x14ac:dyDescent="0.25">
      <c r="B125" s="657" t="s">
        <v>439</v>
      </c>
      <c r="C125" s="657"/>
      <c r="D125" s="658">
        <v>13641476.229999995</v>
      </c>
    </row>
    <row r="126" spans="1:4" x14ac:dyDescent="0.25">
      <c r="B126" s="655">
        <v>4707100000</v>
      </c>
      <c r="C126" s="655" t="s">
        <v>440</v>
      </c>
      <c r="D126" s="656">
        <v>12929077.779999996</v>
      </c>
    </row>
    <row r="127" spans="1:4" x14ac:dyDescent="0.25">
      <c r="B127" s="655">
        <v>4707200000</v>
      </c>
      <c r="C127" s="655" t="s">
        <v>360</v>
      </c>
      <c r="D127" s="656">
        <v>705441.12</v>
      </c>
    </row>
    <row r="128" spans="1:4" x14ac:dyDescent="0.25">
      <c r="B128" s="655">
        <v>4707300000</v>
      </c>
      <c r="C128" s="655" t="s">
        <v>2260</v>
      </c>
      <c r="D128" s="656">
        <v>2197.46</v>
      </c>
    </row>
    <row r="129" spans="2:4" x14ac:dyDescent="0.25">
      <c r="B129" s="655">
        <v>4707900000</v>
      </c>
      <c r="C129" s="655" t="s">
        <v>441</v>
      </c>
      <c r="D129" s="656">
        <v>4759.869999999999</v>
      </c>
    </row>
    <row r="130" spans="2:4" x14ac:dyDescent="0.25">
      <c r="B130" s="155"/>
      <c r="C130" s="156"/>
      <c r="D130" s="157"/>
    </row>
    <row r="131" spans="2:4" x14ac:dyDescent="0.25">
      <c r="B131" s="657" t="s">
        <v>361</v>
      </c>
      <c r="C131" s="654"/>
      <c r="D131" s="658">
        <v>614237594.60000002</v>
      </c>
    </row>
    <row r="132" spans="2:4" x14ac:dyDescent="0.25">
      <c r="B132" s="655">
        <v>4801000000</v>
      </c>
      <c r="C132" s="655" t="s">
        <v>362</v>
      </c>
      <c r="D132" s="656">
        <v>13026567.640000002</v>
      </c>
    </row>
    <row r="133" spans="2:4" x14ac:dyDescent="0.25">
      <c r="B133" s="655">
        <v>4802100000</v>
      </c>
      <c r="C133" s="655" t="s">
        <v>363</v>
      </c>
      <c r="D133" s="656">
        <v>36967.119999999995</v>
      </c>
    </row>
    <row r="134" spans="2:4" x14ac:dyDescent="0.25">
      <c r="B134" s="655">
        <v>4802200010</v>
      </c>
      <c r="C134" s="655" t="s">
        <v>594</v>
      </c>
      <c r="D134" s="656">
        <v>6600.6399999999994</v>
      </c>
    </row>
    <row r="135" spans="2:4" x14ac:dyDescent="0.25">
      <c r="B135" s="655">
        <v>4802200090</v>
      </c>
      <c r="C135" s="655" t="s">
        <v>322</v>
      </c>
      <c r="D135" s="656">
        <v>268225.29999999993</v>
      </c>
    </row>
    <row r="136" spans="2:4" x14ac:dyDescent="0.25">
      <c r="B136" s="655">
        <v>4802540090</v>
      </c>
      <c r="C136" s="655" t="s">
        <v>322</v>
      </c>
      <c r="D136" s="656">
        <v>1164309.22</v>
      </c>
    </row>
    <row r="137" spans="2:4" x14ac:dyDescent="0.25">
      <c r="B137" s="655">
        <v>4802551090</v>
      </c>
      <c r="C137" s="655" t="s">
        <v>322</v>
      </c>
      <c r="D137" s="656">
        <v>31677.149999999998</v>
      </c>
    </row>
    <row r="138" spans="2:4" x14ac:dyDescent="0.25">
      <c r="B138" s="655">
        <v>4802552000</v>
      </c>
      <c r="C138" s="655" t="s">
        <v>364</v>
      </c>
      <c r="D138" s="656">
        <v>23281.46</v>
      </c>
    </row>
    <row r="139" spans="2:4" x14ac:dyDescent="0.25">
      <c r="B139" s="655">
        <v>4802559000</v>
      </c>
      <c r="C139" s="655" t="s">
        <v>322</v>
      </c>
      <c r="D139" s="656">
        <v>56935930.810000032</v>
      </c>
    </row>
    <row r="140" spans="2:4" x14ac:dyDescent="0.25">
      <c r="B140" s="655">
        <v>4802561090</v>
      </c>
      <c r="C140" s="655" t="s">
        <v>322</v>
      </c>
      <c r="D140" s="656">
        <v>386941.07</v>
      </c>
    </row>
    <row r="141" spans="2:4" x14ac:dyDescent="0.25">
      <c r="B141" s="655">
        <v>4802562000</v>
      </c>
      <c r="C141" s="655" t="s">
        <v>364</v>
      </c>
      <c r="D141" s="656">
        <v>201641.01999999996</v>
      </c>
    </row>
    <row r="142" spans="2:4" x14ac:dyDescent="0.25">
      <c r="B142" s="655">
        <v>4802569000</v>
      </c>
      <c r="C142" s="655" t="s">
        <v>322</v>
      </c>
      <c r="D142" s="656">
        <v>71810954.760000095</v>
      </c>
    </row>
    <row r="143" spans="2:4" x14ac:dyDescent="0.25">
      <c r="B143" s="655">
        <v>4802571090</v>
      </c>
      <c r="C143" s="655" t="s">
        <v>322</v>
      </c>
      <c r="D143" s="656">
        <v>9475.84</v>
      </c>
    </row>
    <row r="144" spans="2:4" x14ac:dyDescent="0.25">
      <c r="B144" s="655">
        <v>4802572000</v>
      </c>
      <c r="C144" s="655" t="s">
        <v>364</v>
      </c>
      <c r="D144" s="656">
        <v>234850.68999999997</v>
      </c>
    </row>
    <row r="145" spans="2:4" x14ac:dyDescent="0.25">
      <c r="B145" s="655">
        <v>4802579000</v>
      </c>
      <c r="C145" s="655" t="s">
        <v>322</v>
      </c>
      <c r="D145" s="656">
        <v>21312744.989999998</v>
      </c>
    </row>
    <row r="146" spans="2:4" x14ac:dyDescent="0.25">
      <c r="B146" s="655">
        <v>4802581090</v>
      </c>
      <c r="C146" s="655" t="s">
        <v>322</v>
      </c>
      <c r="D146" s="656">
        <v>46301.540000000008</v>
      </c>
    </row>
    <row r="147" spans="2:4" x14ac:dyDescent="0.25">
      <c r="B147" s="655">
        <v>4802589010</v>
      </c>
      <c r="C147" s="655" t="s">
        <v>442</v>
      </c>
      <c r="D147" s="656">
        <v>740879.77000000014</v>
      </c>
    </row>
    <row r="148" spans="2:4" x14ac:dyDescent="0.25">
      <c r="B148" s="655">
        <v>4802589090</v>
      </c>
      <c r="C148" s="655" t="s">
        <v>322</v>
      </c>
      <c r="D148" s="656">
        <v>2636885.349999995</v>
      </c>
    </row>
    <row r="149" spans="2:4" x14ac:dyDescent="0.25">
      <c r="B149" s="655">
        <v>4802619010</v>
      </c>
      <c r="C149" s="655" t="s">
        <v>443</v>
      </c>
      <c r="D149" s="656">
        <v>943941.20000000007</v>
      </c>
    </row>
    <row r="150" spans="2:4" x14ac:dyDescent="0.25">
      <c r="B150" s="655">
        <v>4802619090</v>
      </c>
      <c r="C150" s="655" t="s">
        <v>322</v>
      </c>
      <c r="D150" s="656">
        <v>410080.6</v>
      </c>
    </row>
    <row r="151" spans="2:4" x14ac:dyDescent="0.25">
      <c r="B151" s="655">
        <v>4802620090</v>
      </c>
      <c r="C151" s="655" t="s">
        <v>322</v>
      </c>
      <c r="D151" s="656">
        <v>363994.52</v>
      </c>
    </row>
    <row r="152" spans="2:4" x14ac:dyDescent="0.25">
      <c r="B152" s="655">
        <v>4802699010</v>
      </c>
      <c r="C152" s="655" t="s">
        <v>597</v>
      </c>
      <c r="D152" s="656">
        <v>22389.47</v>
      </c>
    </row>
    <row r="153" spans="2:4" x14ac:dyDescent="0.25">
      <c r="B153" s="655">
        <v>4802699090</v>
      </c>
      <c r="C153" s="655" t="s">
        <v>322</v>
      </c>
      <c r="D153" s="656">
        <v>3176219.54</v>
      </c>
    </row>
    <row r="154" spans="2:4" x14ac:dyDescent="0.25">
      <c r="B154" s="655">
        <v>4803001000</v>
      </c>
      <c r="C154" s="655" t="s">
        <v>444</v>
      </c>
      <c r="D154" s="656">
        <v>67313.269999999975</v>
      </c>
    </row>
    <row r="155" spans="2:4" x14ac:dyDescent="0.25">
      <c r="B155" s="655">
        <v>4803009000</v>
      </c>
      <c r="C155" s="655" t="s">
        <v>322</v>
      </c>
      <c r="D155" s="656">
        <v>10809301.440000007</v>
      </c>
    </row>
    <row r="156" spans="2:4" x14ac:dyDescent="0.25">
      <c r="B156" s="655">
        <v>4804110000</v>
      </c>
      <c r="C156" s="655" t="s">
        <v>365</v>
      </c>
      <c r="D156" s="656">
        <v>39516230.70000001</v>
      </c>
    </row>
    <row r="157" spans="2:4" x14ac:dyDescent="0.25">
      <c r="B157" s="655">
        <v>4804190000</v>
      </c>
      <c r="C157" s="655" t="s">
        <v>322</v>
      </c>
      <c r="D157" s="656">
        <v>9200222.9199999981</v>
      </c>
    </row>
    <row r="158" spans="2:4" x14ac:dyDescent="0.25">
      <c r="B158" s="655">
        <v>4804210000</v>
      </c>
      <c r="C158" s="655" t="s">
        <v>366</v>
      </c>
      <c r="D158" s="656">
        <v>22845061.119999997</v>
      </c>
    </row>
    <row r="159" spans="2:4" x14ac:dyDescent="0.25">
      <c r="B159" s="655">
        <v>4804290000</v>
      </c>
      <c r="C159" s="655" t="s">
        <v>322</v>
      </c>
      <c r="D159" s="656">
        <v>2515428.169999999</v>
      </c>
    </row>
    <row r="160" spans="2:4" x14ac:dyDescent="0.25">
      <c r="B160" s="655">
        <v>4804310010</v>
      </c>
      <c r="C160" s="655" t="s">
        <v>367</v>
      </c>
      <c r="D160" s="656">
        <v>4734.51</v>
      </c>
    </row>
    <row r="161" spans="2:4" x14ac:dyDescent="0.25">
      <c r="B161" s="655">
        <v>4804310090</v>
      </c>
      <c r="C161" s="655" t="s">
        <v>322</v>
      </c>
      <c r="D161" s="656">
        <v>7604433.1599999964</v>
      </c>
    </row>
    <row r="162" spans="2:4" x14ac:dyDescent="0.25">
      <c r="B162" s="655">
        <v>4804390000</v>
      </c>
      <c r="C162" s="655" t="s">
        <v>322</v>
      </c>
      <c r="D162" s="656">
        <v>975296.91999999981</v>
      </c>
    </row>
    <row r="163" spans="2:4" x14ac:dyDescent="0.25">
      <c r="B163" s="655">
        <v>4804411000</v>
      </c>
      <c r="C163" s="655" t="s">
        <v>445</v>
      </c>
      <c r="D163" s="656">
        <v>635905.29999999993</v>
      </c>
    </row>
    <row r="164" spans="2:4" x14ac:dyDescent="0.25">
      <c r="B164" s="655">
        <v>4804419090</v>
      </c>
      <c r="C164" s="655" t="s">
        <v>322</v>
      </c>
      <c r="D164" s="656">
        <v>31901.25</v>
      </c>
    </row>
    <row r="165" spans="2:4" x14ac:dyDescent="0.25">
      <c r="B165" s="655">
        <v>4804420000</v>
      </c>
      <c r="C165" s="655" t="s">
        <v>446</v>
      </c>
      <c r="D165" s="656">
        <v>13521.919999999998</v>
      </c>
    </row>
    <row r="166" spans="2:4" x14ac:dyDescent="0.25">
      <c r="B166" s="655">
        <v>4804490000</v>
      </c>
      <c r="C166" s="655" t="s">
        <v>322</v>
      </c>
      <c r="D166" s="656">
        <v>41824.560000000005</v>
      </c>
    </row>
    <row r="167" spans="2:4" x14ac:dyDescent="0.25">
      <c r="B167" s="655">
        <v>4804510020</v>
      </c>
      <c r="C167" s="655" t="s">
        <v>367</v>
      </c>
      <c r="D167" s="656">
        <v>5991.4199999999992</v>
      </c>
    </row>
    <row r="168" spans="2:4" x14ac:dyDescent="0.25">
      <c r="B168" s="655">
        <v>4804510090</v>
      </c>
      <c r="C168" s="655" t="s">
        <v>322</v>
      </c>
      <c r="D168" s="656">
        <v>481134.35000000015</v>
      </c>
    </row>
    <row r="169" spans="2:4" x14ac:dyDescent="0.25">
      <c r="B169" s="655">
        <v>4804590000</v>
      </c>
      <c r="C169" s="655" t="s">
        <v>322</v>
      </c>
      <c r="D169" s="656">
        <v>709041.29999999993</v>
      </c>
    </row>
    <row r="170" spans="2:4" x14ac:dyDescent="0.25">
      <c r="B170" s="655">
        <v>4805110000</v>
      </c>
      <c r="C170" s="655" t="s">
        <v>368</v>
      </c>
      <c r="D170" s="656">
        <v>8434065.0300000049</v>
      </c>
    </row>
    <row r="171" spans="2:4" x14ac:dyDescent="0.25">
      <c r="B171" s="655">
        <v>4805120090</v>
      </c>
      <c r="C171" s="655" t="s">
        <v>322</v>
      </c>
      <c r="D171" s="656">
        <v>29554.159999999996</v>
      </c>
    </row>
    <row r="172" spans="2:4" x14ac:dyDescent="0.25">
      <c r="B172" s="655">
        <v>4805190090</v>
      </c>
      <c r="C172" s="655" t="s">
        <v>322</v>
      </c>
      <c r="D172" s="656">
        <v>11559469.870000001</v>
      </c>
    </row>
    <row r="173" spans="2:4" x14ac:dyDescent="0.25">
      <c r="B173" s="655">
        <v>4805240000</v>
      </c>
      <c r="C173" s="655" t="s">
        <v>369</v>
      </c>
      <c r="D173" s="656">
        <v>11363558.96999998</v>
      </c>
    </row>
    <row r="174" spans="2:4" x14ac:dyDescent="0.25">
      <c r="B174" s="655">
        <v>4805250010</v>
      </c>
      <c r="C174" s="655" t="s">
        <v>370</v>
      </c>
      <c r="D174" s="656">
        <v>483243.22</v>
      </c>
    </row>
    <row r="175" spans="2:4" x14ac:dyDescent="0.25">
      <c r="B175" s="655">
        <v>4805250090</v>
      </c>
      <c r="C175" s="655" t="s">
        <v>322</v>
      </c>
      <c r="D175" s="656">
        <v>8749060.4100000057</v>
      </c>
    </row>
    <row r="176" spans="2:4" x14ac:dyDescent="0.25">
      <c r="B176" s="655">
        <v>4805300000</v>
      </c>
      <c r="C176" s="655" t="s">
        <v>447</v>
      </c>
      <c r="D176" s="656">
        <v>420186.38999999996</v>
      </c>
    </row>
    <row r="177" spans="2:4" x14ac:dyDescent="0.25">
      <c r="B177" s="655">
        <v>4805401000</v>
      </c>
      <c r="C177" s="655" t="s">
        <v>371</v>
      </c>
      <c r="D177" s="656">
        <v>16380.51</v>
      </c>
    </row>
    <row r="178" spans="2:4" x14ac:dyDescent="0.25">
      <c r="B178" s="655">
        <v>4805409000</v>
      </c>
      <c r="C178" s="655" t="s">
        <v>322</v>
      </c>
      <c r="D178" s="656">
        <v>546837.7900000005</v>
      </c>
    </row>
    <row r="179" spans="2:4" x14ac:dyDescent="0.25">
      <c r="B179" s="655">
        <v>4805500000</v>
      </c>
      <c r="C179" s="655" t="s">
        <v>448</v>
      </c>
      <c r="D179" s="656">
        <v>28648.239999999998</v>
      </c>
    </row>
    <row r="180" spans="2:4" x14ac:dyDescent="0.25">
      <c r="B180" s="655">
        <v>4805911000</v>
      </c>
      <c r="C180" s="655" t="s">
        <v>445</v>
      </c>
      <c r="D180" s="656">
        <v>254510.59</v>
      </c>
    </row>
    <row r="181" spans="2:4" x14ac:dyDescent="0.25">
      <c r="B181" s="655">
        <v>4805912000</v>
      </c>
      <c r="C181" s="655" t="s">
        <v>449</v>
      </c>
      <c r="D181" s="656">
        <v>55166.79</v>
      </c>
    </row>
    <row r="182" spans="2:4" x14ac:dyDescent="0.25">
      <c r="B182" s="655">
        <v>4805913000</v>
      </c>
      <c r="C182" s="655" t="s">
        <v>450</v>
      </c>
      <c r="D182" s="656">
        <v>157722</v>
      </c>
    </row>
    <row r="183" spans="2:4" x14ac:dyDescent="0.25">
      <c r="B183" s="655">
        <v>4805919010</v>
      </c>
      <c r="C183" s="655" t="s">
        <v>451</v>
      </c>
      <c r="D183" s="656">
        <v>6391.1500000000005</v>
      </c>
    </row>
    <row r="184" spans="2:4" x14ac:dyDescent="0.25">
      <c r="B184" s="655">
        <v>4805919090</v>
      </c>
      <c r="C184" s="655" t="s">
        <v>322</v>
      </c>
      <c r="D184" s="656">
        <v>2244925.6399999992</v>
      </c>
    </row>
    <row r="185" spans="2:4" x14ac:dyDescent="0.25">
      <c r="B185" s="655">
        <v>4805921000</v>
      </c>
      <c r="C185" s="655" t="s">
        <v>449</v>
      </c>
      <c r="D185" s="656">
        <v>30374.090000000004</v>
      </c>
    </row>
    <row r="186" spans="2:4" x14ac:dyDescent="0.25">
      <c r="B186" s="655">
        <v>4805922000</v>
      </c>
      <c r="C186" s="655" t="s">
        <v>450</v>
      </c>
      <c r="D186" s="656">
        <v>2850089.46</v>
      </c>
    </row>
    <row r="187" spans="2:4" x14ac:dyDescent="0.25">
      <c r="B187" s="655">
        <v>4805929000</v>
      </c>
      <c r="C187" s="655" t="s">
        <v>322</v>
      </c>
      <c r="D187" s="656">
        <v>6427200.7199999997</v>
      </c>
    </row>
    <row r="188" spans="2:4" x14ac:dyDescent="0.25">
      <c r="B188" s="655">
        <v>4805931000</v>
      </c>
      <c r="C188" s="655" t="s">
        <v>449</v>
      </c>
      <c r="D188" s="656">
        <v>205806.28</v>
      </c>
    </row>
    <row r="189" spans="2:4" x14ac:dyDescent="0.25">
      <c r="B189" s="655">
        <v>4805932000</v>
      </c>
      <c r="C189" s="655" t="s">
        <v>450</v>
      </c>
      <c r="D189" s="656">
        <v>119527.2</v>
      </c>
    </row>
    <row r="190" spans="2:4" x14ac:dyDescent="0.25">
      <c r="B190" s="655">
        <v>4805933000</v>
      </c>
      <c r="C190" s="655" t="s">
        <v>372</v>
      </c>
      <c r="D190" s="656">
        <v>130548.17000000001</v>
      </c>
    </row>
    <row r="191" spans="2:4" x14ac:dyDescent="0.25">
      <c r="B191" s="655">
        <v>4805939000</v>
      </c>
      <c r="C191" s="655" t="s">
        <v>322</v>
      </c>
      <c r="D191" s="656">
        <v>455472.05000000005</v>
      </c>
    </row>
    <row r="192" spans="2:4" x14ac:dyDescent="0.25">
      <c r="B192" s="655">
        <v>4806100000</v>
      </c>
      <c r="C192" s="655" t="s">
        <v>373</v>
      </c>
      <c r="D192" s="656">
        <v>52143.32</v>
      </c>
    </row>
    <row r="193" spans="2:4" x14ac:dyDescent="0.25">
      <c r="B193" s="655">
        <v>4806200000</v>
      </c>
      <c r="C193" s="655" t="s">
        <v>374</v>
      </c>
      <c r="D193" s="656">
        <v>3736281.8699999992</v>
      </c>
    </row>
    <row r="194" spans="2:4" x14ac:dyDescent="0.25">
      <c r="B194" s="655">
        <v>4806300000</v>
      </c>
      <c r="C194" s="655" t="s">
        <v>452</v>
      </c>
      <c r="D194" s="656">
        <v>202296.06999999998</v>
      </c>
    </row>
    <row r="195" spans="2:4" x14ac:dyDescent="0.25">
      <c r="B195" s="655">
        <v>4806400000</v>
      </c>
      <c r="C195" s="655" t="s">
        <v>375</v>
      </c>
      <c r="D195" s="656">
        <v>287380.62</v>
      </c>
    </row>
    <row r="196" spans="2:4" x14ac:dyDescent="0.25">
      <c r="B196" s="655">
        <v>4807000000</v>
      </c>
      <c r="C196" s="655" t="s">
        <v>453</v>
      </c>
      <c r="D196" s="656">
        <v>1697951.4100000008</v>
      </c>
    </row>
    <row r="197" spans="2:4" x14ac:dyDescent="0.25">
      <c r="B197" s="655">
        <v>4808100000</v>
      </c>
      <c r="C197" s="655" t="s">
        <v>376</v>
      </c>
      <c r="D197" s="656">
        <v>2442431.8699999996</v>
      </c>
    </row>
    <row r="198" spans="2:4" x14ac:dyDescent="0.25">
      <c r="B198" s="655">
        <v>4808400000</v>
      </c>
      <c r="C198" s="655" t="s">
        <v>377</v>
      </c>
      <c r="D198" s="656">
        <v>1428451.8199999996</v>
      </c>
    </row>
    <row r="199" spans="2:4" x14ac:dyDescent="0.25">
      <c r="B199" s="655">
        <v>4808900000</v>
      </c>
      <c r="C199" s="655" t="s">
        <v>322</v>
      </c>
      <c r="D199" s="656">
        <v>752416.01999999967</v>
      </c>
    </row>
    <row r="200" spans="2:4" x14ac:dyDescent="0.25">
      <c r="B200" s="655">
        <v>4809200000</v>
      </c>
      <c r="C200" s="655" t="s">
        <v>390</v>
      </c>
      <c r="D200" s="656">
        <v>6518632.8700000048</v>
      </c>
    </row>
    <row r="201" spans="2:4" x14ac:dyDescent="0.25">
      <c r="B201" s="655">
        <v>4809900090</v>
      </c>
      <c r="C201" s="655" t="s">
        <v>322</v>
      </c>
      <c r="D201" s="656">
        <v>4968675.9499999993</v>
      </c>
    </row>
    <row r="202" spans="2:4" x14ac:dyDescent="0.25">
      <c r="B202" s="655">
        <v>4810131100</v>
      </c>
      <c r="C202" s="655" t="s">
        <v>378</v>
      </c>
      <c r="D202" s="656">
        <v>335827.7</v>
      </c>
    </row>
    <row r="203" spans="2:4" x14ac:dyDescent="0.25">
      <c r="B203" s="655">
        <v>4810131900</v>
      </c>
      <c r="C203" s="655" t="s">
        <v>322</v>
      </c>
      <c r="D203" s="656">
        <v>1860623.6400000004</v>
      </c>
    </row>
    <row r="204" spans="2:4" x14ac:dyDescent="0.25">
      <c r="B204" s="655">
        <v>4810132000</v>
      </c>
      <c r="C204" s="655" t="s">
        <v>454</v>
      </c>
      <c r="D204" s="656">
        <v>705651.63000000012</v>
      </c>
    </row>
    <row r="205" spans="2:4" x14ac:dyDescent="0.25">
      <c r="B205" s="655">
        <v>4810141000</v>
      </c>
      <c r="C205" s="655" t="s">
        <v>455</v>
      </c>
      <c r="D205" s="656">
        <v>60714.18</v>
      </c>
    </row>
    <row r="206" spans="2:4" x14ac:dyDescent="0.25">
      <c r="B206" s="655">
        <v>4810149000</v>
      </c>
      <c r="C206" s="655" t="s">
        <v>322</v>
      </c>
      <c r="D206" s="656">
        <v>4028.3799999999997</v>
      </c>
    </row>
    <row r="207" spans="2:4" x14ac:dyDescent="0.25">
      <c r="B207" s="655">
        <v>4810190000</v>
      </c>
      <c r="C207" s="655" t="s">
        <v>322</v>
      </c>
      <c r="D207" s="656">
        <v>24506675.679999981</v>
      </c>
    </row>
    <row r="208" spans="2:4" x14ac:dyDescent="0.25">
      <c r="B208" s="655">
        <v>4810220000</v>
      </c>
      <c r="C208" s="655" t="s">
        <v>379</v>
      </c>
      <c r="D208" s="656">
        <v>10917343.900000004</v>
      </c>
    </row>
    <row r="209" spans="2:4" x14ac:dyDescent="0.25">
      <c r="B209" s="655">
        <v>4810290000</v>
      </c>
      <c r="C209" s="655" t="s">
        <v>322</v>
      </c>
      <c r="D209" s="656">
        <v>6260854.5599999949</v>
      </c>
    </row>
    <row r="210" spans="2:4" x14ac:dyDescent="0.25">
      <c r="B210" s="655">
        <v>4810310000</v>
      </c>
      <c r="C210" s="655" t="s">
        <v>456</v>
      </c>
      <c r="D210" s="656">
        <v>19973.13</v>
      </c>
    </row>
    <row r="211" spans="2:4" x14ac:dyDescent="0.25">
      <c r="B211" s="655">
        <v>4810320000</v>
      </c>
      <c r="C211" s="655" t="s">
        <v>457</v>
      </c>
      <c r="D211" s="656">
        <v>255086.90000000002</v>
      </c>
    </row>
    <row r="212" spans="2:4" x14ac:dyDescent="0.25">
      <c r="B212" s="655">
        <v>4810390000</v>
      </c>
      <c r="C212" s="655" t="s">
        <v>322</v>
      </c>
      <c r="D212" s="656">
        <v>554061.15999999992</v>
      </c>
    </row>
    <row r="213" spans="2:4" x14ac:dyDescent="0.25">
      <c r="B213" s="655">
        <v>4810920000</v>
      </c>
      <c r="C213" s="655" t="s">
        <v>380</v>
      </c>
      <c r="D213" s="656">
        <v>50730685.569999941</v>
      </c>
    </row>
    <row r="214" spans="2:4" x14ac:dyDescent="0.25">
      <c r="B214" s="655">
        <v>4810990000</v>
      </c>
      <c r="C214" s="655" t="s">
        <v>322</v>
      </c>
      <c r="D214" s="656">
        <v>1687116.6000000013</v>
      </c>
    </row>
    <row r="215" spans="2:4" x14ac:dyDescent="0.25">
      <c r="B215" s="655">
        <v>4811101090</v>
      </c>
      <c r="C215" s="655" t="s">
        <v>322</v>
      </c>
      <c r="D215" s="656">
        <v>161.61000000000001</v>
      </c>
    </row>
    <row r="216" spans="2:4" x14ac:dyDescent="0.25">
      <c r="B216" s="655">
        <v>4811109000</v>
      </c>
      <c r="C216" s="655" t="s">
        <v>322</v>
      </c>
      <c r="D216" s="656">
        <v>9782.57</v>
      </c>
    </row>
    <row r="217" spans="2:4" x14ac:dyDescent="0.25">
      <c r="B217" s="655">
        <v>4811411000</v>
      </c>
      <c r="C217" s="655" t="s">
        <v>381</v>
      </c>
      <c r="D217" s="656">
        <v>14502292.029999997</v>
      </c>
    </row>
    <row r="218" spans="2:4" x14ac:dyDescent="0.25">
      <c r="B218" s="655">
        <v>4811419000</v>
      </c>
      <c r="C218" s="655" t="s">
        <v>322</v>
      </c>
      <c r="D218" s="656">
        <v>8556384.7299999967</v>
      </c>
    </row>
    <row r="219" spans="2:4" x14ac:dyDescent="0.25">
      <c r="B219" s="655">
        <v>4811491000</v>
      </c>
      <c r="C219" s="655" t="s">
        <v>381</v>
      </c>
      <c r="D219" s="656">
        <v>1115244.05</v>
      </c>
    </row>
    <row r="220" spans="2:4" x14ac:dyDescent="0.25">
      <c r="B220" s="655">
        <v>4811499000</v>
      </c>
      <c r="C220" s="655" t="s">
        <v>322</v>
      </c>
      <c r="D220" s="656">
        <v>224883.3299999999</v>
      </c>
    </row>
    <row r="221" spans="2:4" x14ac:dyDescent="0.25">
      <c r="B221" s="655">
        <v>4811511010</v>
      </c>
      <c r="C221" s="655" t="s">
        <v>382</v>
      </c>
      <c r="D221" s="656">
        <v>13483.82</v>
      </c>
    </row>
    <row r="222" spans="2:4" x14ac:dyDescent="0.25">
      <c r="B222" s="655">
        <v>4811511090</v>
      </c>
      <c r="C222" s="655" t="s">
        <v>322</v>
      </c>
      <c r="D222" s="656">
        <v>492415.79</v>
      </c>
    </row>
    <row r="223" spans="2:4" x14ac:dyDescent="0.25">
      <c r="B223" s="655">
        <v>4811512000</v>
      </c>
      <c r="C223" s="655" t="s">
        <v>383</v>
      </c>
      <c r="D223" s="656">
        <v>2037363.3800000004</v>
      </c>
    </row>
    <row r="224" spans="2:4" x14ac:dyDescent="0.25">
      <c r="B224" s="655">
        <v>4811519000</v>
      </c>
      <c r="C224" s="655" t="s">
        <v>322</v>
      </c>
      <c r="D224" s="656">
        <v>2214505.1799999997</v>
      </c>
    </row>
    <row r="225" spans="2:4" x14ac:dyDescent="0.25">
      <c r="B225" s="655">
        <v>4811591010</v>
      </c>
      <c r="C225" s="655" t="s">
        <v>382</v>
      </c>
      <c r="D225" s="656">
        <v>9263.59</v>
      </c>
    </row>
    <row r="226" spans="2:4" x14ac:dyDescent="0.25">
      <c r="B226" s="655">
        <v>4811591090</v>
      </c>
      <c r="C226" s="655" t="s">
        <v>322</v>
      </c>
      <c r="D226" s="656">
        <v>197119.43</v>
      </c>
    </row>
    <row r="227" spans="2:4" x14ac:dyDescent="0.25">
      <c r="B227" s="655">
        <v>4811592000</v>
      </c>
      <c r="C227" s="655" t="s">
        <v>384</v>
      </c>
      <c r="D227" s="656">
        <v>16712144.029999999</v>
      </c>
    </row>
    <row r="228" spans="2:4" x14ac:dyDescent="0.25">
      <c r="B228" s="655">
        <v>4811593000</v>
      </c>
      <c r="C228" s="655" t="s">
        <v>458</v>
      </c>
      <c r="D228" s="656">
        <v>444921.11999999988</v>
      </c>
    </row>
    <row r="229" spans="2:4" x14ac:dyDescent="0.25">
      <c r="B229" s="655">
        <v>4811594010</v>
      </c>
      <c r="C229" s="655" t="s">
        <v>382</v>
      </c>
      <c r="D229" s="656">
        <v>6366.2999999999993</v>
      </c>
    </row>
    <row r="230" spans="2:4" x14ac:dyDescent="0.25">
      <c r="B230" s="655">
        <v>4811594090</v>
      </c>
      <c r="C230" s="655" t="s">
        <v>322</v>
      </c>
      <c r="D230" s="656">
        <v>30683.780000000006</v>
      </c>
    </row>
    <row r="231" spans="2:4" x14ac:dyDescent="0.25">
      <c r="B231" s="655">
        <v>4811595000</v>
      </c>
      <c r="C231" s="655" t="s">
        <v>383</v>
      </c>
      <c r="D231" s="656">
        <v>26729.59</v>
      </c>
    </row>
    <row r="232" spans="2:4" x14ac:dyDescent="0.25">
      <c r="B232" s="655">
        <v>4811596000</v>
      </c>
      <c r="C232" s="655" t="s">
        <v>385</v>
      </c>
      <c r="D232" s="656">
        <v>244581.58000000019</v>
      </c>
    </row>
    <row r="233" spans="2:4" x14ac:dyDescent="0.25">
      <c r="B233" s="655">
        <v>4811599000</v>
      </c>
      <c r="C233" s="655" t="s">
        <v>322</v>
      </c>
      <c r="D233" s="656">
        <v>4908736.2099999925</v>
      </c>
    </row>
    <row r="234" spans="2:4" x14ac:dyDescent="0.25">
      <c r="B234" s="655">
        <v>4811601090</v>
      </c>
      <c r="C234" s="655" t="s">
        <v>322</v>
      </c>
      <c r="D234" s="656">
        <v>58533.54</v>
      </c>
    </row>
    <row r="235" spans="2:4" x14ac:dyDescent="0.25">
      <c r="B235" s="655">
        <v>4811609000</v>
      </c>
      <c r="C235" s="655" t="s">
        <v>322</v>
      </c>
      <c r="D235" s="656">
        <v>355514.06000000006</v>
      </c>
    </row>
    <row r="236" spans="2:4" x14ac:dyDescent="0.25">
      <c r="B236" s="655">
        <v>4811901000</v>
      </c>
      <c r="C236" s="655" t="s">
        <v>386</v>
      </c>
      <c r="D236" s="656">
        <v>43141.939999999995</v>
      </c>
    </row>
    <row r="237" spans="2:4" x14ac:dyDescent="0.25">
      <c r="B237" s="655">
        <v>4811902010</v>
      </c>
      <c r="C237" s="655" t="s">
        <v>382</v>
      </c>
      <c r="D237" s="656">
        <v>569182.61000000022</v>
      </c>
    </row>
    <row r="238" spans="2:4" x14ac:dyDescent="0.25">
      <c r="B238" s="655">
        <v>4811902090</v>
      </c>
      <c r="C238" s="655" t="s">
        <v>322</v>
      </c>
      <c r="D238" s="656">
        <v>31192.180000000004</v>
      </c>
    </row>
    <row r="239" spans="2:4" x14ac:dyDescent="0.25">
      <c r="B239" s="655">
        <v>4811905000</v>
      </c>
      <c r="C239" s="655" t="s">
        <v>459</v>
      </c>
      <c r="D239" s="656">
        <v>2639.7400000000002</v>
      </c>
    </row>
    <row r="240" spans="2:4" x14ac:dyDescent="0.25">
      <c r="B240" s="655">
        <v>4811908010</v>
      </c>
      <c r="C240" s="655" t="s">
        <v>382</v>
      </c>
      <c r="D240" s="656">
        <v>473817.17</v>
      </c>
    </row>
    <row r="241" spans="2:4" x14ac:dyDescent="0.25">
      <c r="B241" s="655">
        <v>4811908090</v>
      </c>
      <c r="C241" s="655" t="s">
        <v>322</v>
      </c>
      <c r="D241" s="656">
        <v>328430.86999999994</v>
      </c>
    </row>
    <row r="242" spans="2:4" x14ac:dyDescent="0.25">
      <c r="B242" s="655">
        <v>4811909000</v>
      </c>
      <c r="C242" s="655" t="s">
        <v>322</v>
      </c>
      <c r="D242" s="656">
        <v>14262158.339999972</v>
      </c>
    </row>
    <row r="243" spans="2:4" x14ac:dyDescent="0.25">
      <c r="B243" s="655">
        <v>4812000000</v>
      </c>
      <c r="C243" s="655" t="s">
        <v>387</v>
      </c>
      <c r="D243" s="656">
        <v>352929.23999999982</v>
      </c>
    </row>
    <row r="244" spans="2:4" x14ac:dyDescent="0.25">
      <c r="B244" s="655">
        <v>4813100000</v>
      </c>
      <c r="C244" s="655" t="s">
        <v>460</v>
      </c>
      <c r="D244" s="656">
        <v>372796.09000000055</v>
      </c>
    </row>
    <row r="245" spans="2:4" x14ac:dyDescent="0.25">
      <c r="B245" s="655">
        <v>4813200000</v>
      </c>
      <c r="C245" s="655" t="s">
        <v>598</v>
      </c>
      <c r="D245" s="656">
        <v>21908.659999999996</v>
      </c>
    </row>
    <row r="246" spans="2:4" x14ac:dyDescent="0.25">
      <c r="B246" s="655">
        <v>4814200000</v>
      </c>
      <c r="C246" s="655" t="s">
        <v>388</v>
      </c>
      <c r="D246" s="656">
        <v>2221989.8700000029</v>
      </c>
    </row>
    <row r="247" spans="2:4" x14ac:dyDescent="0.25">
      <c r="B247" s="655">
        <v>4814900010</v>
      </c>
      <c r="C247" s="655" t="s">
        <v>389</v>
      </c>
      <c r="D247" s="656">
        <v>138560.48000000091</v>
      </c>
    </row>
    <row r="248" spans="2:4" x14ac:dyDescent="0.25">
      <c r="B248" s="655">
        <v>4814900090</v>
      </c>
      <c r="C248" s="655" t="s">
        <v>322</v>
      </c>
      <c r="D248" s="656">
        <v>106671.45000000011</v>
      </c>
    </row>
    <row r="249" spans="2:4" x14ac:dyDescent="0.25">
      <c r="B249" s="655">
        <v>4816200000</v>
      </c>
      <c r="C249" s="655" t="s">
        <v>390</v>
      </c>
      <c r="D249" s="656">
        <v>673939.43999999971</v>
      </c>
    </row>
    <row r="250" spans="2:4" x14ac:dyDescent="0.25">
      <c r="B250" s="655">
        <v>4816900000</v>
      </c>
      <c r="C250" s="655" t="s">
        <v>322</v>
      </c>
      <c r="D250" s="656">
        <v>1103958.8900000001</v>
      </c>
    </row>
    <row r="251" spans="2:4" x14ac:dyDescent="0.25">
      <c r="B251" s="655">
        <v>4817100000</v>
      </c>
      <c r="C251" s="655" t="s">
        <v>391</v>
      </c>
      <c r="D251" s="656">
        <v>183659.23000000007</v>
      </c>
    </row>
    <row r="252" spans="2:4" x14ac:dyDescent="0.25">
      <c r="B252" s="655">
        <v>4817200000</v>
      </c>
      <c r="C252" s="655" t="s">
        <v>392</v>
      </c>
      <c r="D252" s="656">
        <v>11809.260000000007</v>
      </c>
    </row>
    <row r="253" spans="2:4" x14ac:dyDescent="0.25">
      <c r="B253" s="655">
        <v>4817300000</v>
      </c>
      <c r="C253" s="655" t="s">
        <v>393</v>
      </c>
      <c r="D253" s="656">
        <v>175210.78999999978</v>
      </c>
    </row>
    <row r="254" spans="2:4" x14ac:dyDescent="0.25">
      <c r="B254" s="655">
        <v>4818100000</v>
      </c>
      <c r="C254" s="655" t="s">
        <v>394</v>
      </c>
      <c r="D254" s="656">
        <v>1656444.7599999995</v>
      </c>
    </row>
    <row r="255" spans="2:4" x14ac:dyDescent="0.25">
      <c r="B255" s="655">
        <v>4818200000</v>
      </c>
      <c r="C255" s="655" t="s">
        <v>395</v>
      </c>
      <c r="D255" s="656">
        <v>7381705.8800000083</v>
      </c>
    </row>
    <row r="256" spans="2:4" x14ac:dyDescent="0.25">
      <c r="B256" s="655">
        <v>4818300000</v>
      </c>
      <c r="C256" s="655" t="s">
        <v>396</v>
      </c>
      <c r="D256" s="656">
        <v>2347828.0700000166</v>
      </c>
    </row>
    <row r="257" spans="2:4" x14ac:dyDescent="0.25">
      <c r="B257" s="655">
        <v>4818500000</v>
      </c>
      <c r="C257" s="655" t="s">
        <v>397</v>
      </c>
      <c r="D257" s="656">
        <v>28215.97</v>
      </c>
    </row>
    <row r="258" spans="2:4" x14ac:dyDescent="0.25">
      <c r="B258" s="655">
        <v>4818900000</v>
      </c>
      <c r="C258" s="655" t="s">
        <v>322</v>
      </c>
      <c r="D258" s="656">
        <v>3819340.8500000015</v>
      </c>
    </row>
    <row r="259" spans="2:4" x14ac:dyDescent="0.25">
      <c r="B259" s="655">
        <v>4819100000</v>
      </c>
      <c r="C259" s="655" t="s">
        <v>398</v>
      </c>
      <c r="D259" s="656">
        <v>4973449.2499999832</v>
      </c>
    </row>
    <row r="260" spans="2:4" x14ac:dyDescent="0.25">
      <c r="B260" s="655">
        <v>4819200000</v>
      </c>
      <c r="C260" s="655" t="s">
        <v>399</v>
      </c>
      <c r="D260" s="656">
        <v>9896265.4299999848</v>
      </c>
    </row>
    <row r="261" spans="2:4" x14ac:dyDescent="0.25">
      <c r="B261" s="655">
        <v>4819301000</v>
      </c>
      <c r="C261" s="655" t="s">
        <v>400</v>
      </c>
      <c r="D261" s="656">
        <v>8727539.9399999976</v>
      </c>
    </row>
    <row r="262" spans="2:4" x14ac:dyDescent="0.25">
      <c r="B262" s="655">
        <v>4819309000</v>
      </c>
      <c r="C262" s="655" t="s">
        <v>322</v>
      </c>
      <c r="D262" s="656">
        <v>511255.37999999954</v>
      </c>
    </row>
    <row r="263" spans="2:4" x14ac:dyDescent="0.25">
      <c r="B263" s="655">
        <v>4819400000</v>
      </c>
      <c r="C263" s="655" t="s">
        <v>401</v>
      </c>
      <c r="D263" s="656">
        <v>13424311.000000041</v>
      </c>
    </row>
    <row r="264" spans="2:4" x14ac:dyDescent="0.25">
      <c r="B264" s="655">
        <v>4819500000</v>
      </c>
      <c r="C264" s="655" t="s">
        <v>402</v>
      </c>
      <c r="D264" s="656">
        <v>400763.89000000019</v>
      </c>
    </row>
    <row r="265" spans="2:4" x14ac:dyDescent="0.25">
      <c r="B265" s="655">
        <v>4819600000</v>
      </c>
      <c r="C265" s="655" t="s">
        <v>403</v>
      </c>
      <c r="D265" s="656">
        <v>317784.14999999985</v>
      </c>
    </row>
    <row r="266" spans="2:4" x14ac:dyDescent="0.25">
      <c r="B266" s="655">
        <v>4821100000</v>
      </c>
      <c r="C266" s="655" t="s">
        <v>404</v>
      </c>
      <c r="D266" s="656">
        <v>18382868.15000001</v>
      </c>
    </row>
    <row r="267" spans="2:4" x14ac:dyDescent="0.25">
      <c r="B267" s="655">
        <v>4821900000</v>
      </c>
      <c r="C267" s="655" t="s">
        <v>326</v>
      </c>
      <c r="D267" s="656">
        <v>1523593.9799999956</v>
      </c>
    </row>
    <row r="268" spans="2:4" x14ac:dyDescent="0.25">
      <c r="B268" s="655">
        <v>4822100000</v>
      </c>
      <c r="C268" s="655" t="s">
        <v>405</v>
      </c>
      <c r="D268" s="656">
        <v>407195.33000000083</v>
      </c>
    </row>
    <row r="269" spans="2:4" x14ac:dyDescent="0.25">
      <c r="B269" s="655">
        <v>4822900000</v>
      </c>
      <c r="C269" s="655" t="s">
        <v>322</v>
      </c>
      <c r="D269" s="656">
        <v>75224.73</v>
      </c>
    </row>
    <row r="270" spans="2:4" x14ac:dyDescent="0.25">
      <c r="B270" s="655">
        <v>4823200010</v>
      </c>
      <c r="C270" s="655" t="s">
        <v>461</v>
      </c>
      <c r="D270" s="656">
        <v>57566.939999999995</v>
      </c>
    </row>
    <row r="271" spans="2:4" x14ac:dyDescent="0.25">
      <c r="B271" s="655">
        <v>4823200090</v>
      </c>
      <c r="C271" s="655" t="s">
        <v>322</v>
      </c>
      <c r="D271" s="656">
        <v>2888628.8400000008</v>
      </c>
    </row>
    <row r="272" spans="2:4" x14ac:dyDescent="0.25">
      <c r="B272" s="655">
        <v>4823400000</v>
      </c>
      <c r="C272" s="655" t="s">
        <v>462</v>
      </c>
      <c r="D272" s="656">
        <v>233813.41999999987</v>
      </c>
    </row>
    <row r="273" spans="2:4" x14ac:dyDescent="0.25">
      <c r="B273" s="655">
        <v>4823690000</v>
      </c>
      <c r="C273" s="655" t="s">
        <v>322</v>
      </c>
      <c r="D273" s="656">
        <v>9893523.560000034</v>
      </c>
    </row>
    <row r="274" spans="2:4" x14ac:dyDescent="0.25">
      <c r="B274" s="655">
        <v>4823700000</v>
      </c>
      <c r="C274" s="655" t="s">
        <v>406</v>
      </c>
      <c r="D274" s="656">
        <v>1474054.6800000013</v>
      </c>
    </row>
    <row r="275" spans="2:4" x14ac:dyDescent="0.25">
      <c r="B275" s="655">
        <v>4823902000</v>
      </c>
      <c r="C275" s="655" t="s">
        <v>463</v>
      </c>
      <c r="D275" s="656">
        <v>366985.50000000012</v>
      </c>
    </row>
    <row r="276" spans="2:4" x14ac:dyDescent="0.25">
      <c r="B276" s="655">
        <v>4823904000</v>
      </c>
      <c r="C276" s="655" t="s">
        <v>407</v>
      </c>
      <c r="D276" s="656">
        <v>964153.30999999901</v>
      </c>
    </row>
    <row r="277" spans="2:4" x14ac:dyDescent="0.25">
      <c r="B277" s="655">
        <v>4823905000</v>
      </c>
      <c r="C277" s="655" t="s">
        <v>464</v>
      </c>
      <c r="D277" s="656">
        <v>799.1</v>
      </c>
    </row>
    <row r="278" spans="2:4" x14ac:dyDescent="0.25">
      <c r="B278" s="655">
        <v>4823906000</v>
      </c>
      <c r="C278" s="655" t="s">
        <v>408</v>
      </c>
      <c r="D278" s="656">
        <v>109989.23999999999</v>
      </c>
    </row>
    <row r="279" spans="2:4" x14ac:dyDescent="0.25">
      <c r="B279" s="655">
        <v>4823909010</v>
      </c>
      <c r="C279" s="655" t="s">
        <v>409</v>
      </c>
      <c r="D279" s="656">
        <v>127216.94</v>
      </c>
    </row>
    <row r="280" spans="2:4" x14ac:dyDescent="0.25">
      <c r="B280" s="655">
        <v>4823909020</v>
      </c>
      <c r="C280" s="655" t="s">
        <v>410</v>
      </c>
      <c r="D280" s="656">
        <v>106192.68000000001</v>
      </c>
    </row>
    <row r="281" spans="2:4" x14ac:dyDescent="0.25">
      <c r="B281" s="655">
        <v>4823909030</v>
      </c>
      <c r="C281" s="655" t="s">
        <v>465</v>
      </c>
      <c r="D281" s="656">
        <v>43414.509999999995</v>
      </c>
    </row>
    <row r="282" spans="2:4" x14ac:dyDescent="0.25">
      <c r="B282" s="655">
        <v>4823909040</v>
      </c>
      <c r="C282" s="655" t="s">
        <v>2261</v>
      </c>
      <c r="D282" s="656">
        <v>312.56</v>
      </c>
    </row>
    <row r="283" spans="2:4" x14ac:dyDescent="0.25">
      <c r="B283" s="655">
        <v>4823909091</v>
      </c>
      <c r="C283" s="655" t="s">
        <v>411</v>
      </c>
      <c r="D283" s="656">
        <v>6528.4100000000008</v>
      </c>
    </row>
    <row r="284" spans="2:4" x14ac:dyDescent="0.25">
      <c r="B284" s="655">
        <v>4823909099</v>
      </c>
      <c r="C284" s="655" t="s">
        <v>322</v>
      </c>
      <c r="D284" s="656">
        <v>7053276.5899999896</v>
      </c>
    </row>
    <row r="285" spans="2:4" x14ac:dyDescent="0.25">
      <c r="B285" s="179"/>
      <c r="C285" s="177"/>
      <c r="D285" s="178"/>
    </row>
    <row r="286" spans="2:4" x14ac:dyDescent="0.25">
      <c r="B286" s="657" t="s">
        <v>324</v>
      </c>
      <c r="C286" s="657"/>
      <c r="D286" s="658">
        <v>74924083.869999915</v>
      </c>
    </row>
    <row r="287" spans="2:4" x14ac:dyDescent="0.25">
      <c r="B287" s="655">
        <v>9401610000</v>
      </c>
      <c r="C287" s="655" t="s">
        <v>412</v>
      </c>
      <c r="D287" s="656">
        <v>18886793.160000056</v>
      </c>
    </row>
    <row r="288" spans="2:4" x14ac:dyDescent="0.25">
      <c r="B288" s="655">
        <v>9401690000</v>
      </c>
      <c r="C288" s="655" t="s">
        <v>322</v>
      </c>
      <c r="D288" s="656">
        <v>1276969.5699999987</v>
      </c>
    </row>
    <row r="289" spans="2:5" x14ac:dyDescent="0.25">
      <c r="B289" s="655">
        <v>9403300000</v>
      </c>
      <c r="C289" s="655" t="s">
        <v>413</v>
      </c>
      <c r="D289" s="656">
        <v>2486683.4299999978</v>
      </c>
    </row>
    <row r="290" spans="2:5" x14ac:dyDescent="0.25">
      <c r="B290" s="655">
        <v>9403400000</v>
      </c>
      <c r="C290" s="655" t="s">
        <v>414</v>
      </c>
      <c r="D290" s="656">
        <v>3737037.1100000008</v>
      </c>
    </row>
    <row r="291" spans="2:5" x14ac:dyDescent="0.25">
      <c r="B291" s="655">
        <v>9403500000</v>
      </c>
      <c r="C291" s="655" t="s">
        <v>415</v>
      </c>
      <c r="D291" s="656">
        <v>26558959.66999995</v>
      </c>
    </row>
    <row r="292" spans="2:5" x14ac:dyDescent="0.25">
      <c r="B292" s="655">
        <v>9403600000</v>
      </c>
      <c r="C292" s="655" t="s">
        <v>416</v>
      </c>
      <c r="D292" s="656">
        <v>21880671.23999992</v>
      </c>
    </row>
    <row r="293" spans="2:5" x14ac:dyDescent="0.25">
      <c r="B293" s="655">
        <v>9620000020</v>
      </c>
      <c r="C293" s="655" t="s">
        <v>466</v>
      </c>
      <c r="D293" s="656">
        <v>96969.689999999988</v>
      </c>
    </row>
    <row r="294" spans="2:5" x14ac:dyDescent="0.25">
      <c r="B294" s="628" t="s">
        <v>2247</v>
      </c>
      <c r="C294" s="628"/>
      <c r="D294" s="630">
        <v>1144289774.03</v>
      </c>
    </row>
    <row r="295" spans="2:5" x14ac:dyDescent="0.25">
      <c r="B295" s="153" t="s">
        <v>327</v>
      </c>
      <c r="C295" s="149"/>
      <c r="D295" s="150"/>
      <c r="E295" s="160"/>
    </row>
  </sheetData>
  <mergeCells count="1">
    <mergeCell ref="B26:C26"/>
  </mergeCells>
  <hyperlinks>
    <hyperlink ref="A1" location="INDICE!A1" display="(Ir al Índice)" xr:uid="{DD8B2639-2C78-4919-BEAE-C0D9169CBE18}"/>
  </hyperlink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F129-D5FA-4508-BA27-06F1F08BE36C}">
  <sheetPr>
    <tabColor theme="4"/>
  </sheetPr>
  <dimension ref="A1:I98"/>
  <sheetViews>
    <sheetView showGridLines="0" workbookViewId="0">
      <selection activeCell="G50" sqref="G50"/>
    </sheetView>
  </sheetViews>
  <sheetFormatPr baseColWidth="10" defaultColWidth="11.42578125" defaultRowHeight="15" x14ac:dyDescent="0.25"/>
  <cols>
    <col min="1" max="1" width="4.28515625" style="103" customWidth="1"/>
    <col min="2" max="2" width="15" style="180" customWidth="1"/>
    <col min="3" max="3" width="57.42578125" style="181" customWidth="1"/>
    <col min="4" max="4" width="15" style="166" customWidth="1"/>
    <col min="5" max="6" width="11.42578125" style="182"/>
    <col min="7" max="7" width="69.7109375" style="182" customWidth="1"/>
    <col min="8" max="8" width="16" style="182" customWidth="1"/>
    <col min="9" max="16384" width="11.42578125" style="182"/>
  </cols>
  <sheetData>
    <row r="1" spans="1:9" x14ac:dyDescent="0.25">
      <c r="A1" s="78" t="s">
        <v>43</v>
      </c>
    </row>
    <row r="2" spans="1:9" x14ac:dyDescent="0.25">
      <c r="A2" s="93"/>
    </row>
    <row r="3" spans="1:9" x14ac:dyDescent="0.25">
      <c r="A3" s="93"/>
      <c r="B3" s="102" t="s">
        <v>39</v>
      </c>
      <c r="C3" s="102"/>
    </row>
    <row r="4" spans="1:9" x14ac:dyDescent="0.25">
      <c r="A4" s="93"/>
      <c r="B4" s="102"/>
      <c r="C4" s="102"/>
    </row>
    <row r="5" spans="1:9" x14ac:dyDescent="0.25">
      <c r="A5" s="93"/>
      <c r="B5" s="102" t="s">
        <v>40</v>
      </c>
    </row>
    <row r="6" spans="1:9" x14ac:dyDescent="0.25">
      <c r="A6" s="93"/>
      <c r="B6" s="102"/>
    </row>
    <row r="7" spans="1:9" x14ac:dyDescent="0.25">
      <c r="B7" s="167" t="s">
        <v>2263</v>
      </c>
      <c r="C7" s="167"/>
      <c r="D7" s="167"/>
      <c r="G7" s="152" t="s">
        <v>2268</v>
      </c>
    </row>
    <row r="8" spans="1:9" ht="24" x14ac:dyDescent="0.25">
      <c r="B8" s="627" t="s">
        <v>317</v>
      </c>
      <c r="C8" s="627" t="s">
        <v>318</v>
      </c>
      <c r="D8" s="627" t="s">
        <v>319</v>
      </c>
      <c r="G8" s="627" t="s">
        <v>318</v>
      </c>
      <c r="H8" s="627" t="s">
        <v>319</v>
      </c>
    </row>
    <row r="9" spans="1:9" x14ac:dyDescent="0.25">
      <c r="B9" s="673" t="s">
        <v>467</v>
      </c>
      <c r="C9" s="675"/>
      <c r="D9" s="674">
        <v>51976.5</v>
      </c>
      <c r="G9" s="680" t="s">
        <v>487</v>
      </c>
      <c r="H9" s="681">
        <v>85487608.829999968</v>
      </c>
      <c r="I9" s="174"/>
    </row>
    <row r="10" spans="1:9" x14ac:dyDescent="0.25">
      <c r="B10" s="667">
        <v>602101000</v>
      </c>
      <c r="C10" s="671" t="s">
        <v>468</v>
      </c>
      <c r="D10" s="668">
        <v>2596</v>
      </c>
      <c r="G10" s="684" t="s">
        <v>279</v>
      </c>
      <c r="H10" s="685">
        <v>56408984.680000015</v>
      </c>
      <c r="I10" s="174"/>
    </row>
    <row r="11" spans="1:9" x14ac:dyDescent="0.25">
      <c r="B11" s="667">
        <v>602901000</v>
      </c>
      <c r="C11" s="671" t="s">
        <v>500</v>
      </c>
      <c r="D11" s="668">
        <v>49380.5</v>
      </c>
      <c r="G11" s="686" t="s">
        <v>599</v>
      </c>
      <c r="H11" s="687">
        <v>39303555.639999986</v>
      </c>
      <c r="I11" s="234"/>
    </row>
    <row r="12" spans="1:9" x14ac:dyDescent="0.25">
      <c r="A12" s="106"/>
      <c r="B12" s="666"/>
      <c r="C12" s="666"/>
      <c r="D12" s="666"/>
      <c r="G12" s="686" t="s">
        <v>473</v>
      </c>
      <c r="H12" s="687">
        <v>21809252.610000007</v>
      </c>
      <c r="I12" s="234"/>
    </row>
    <row r="13" spans="1:9" x14ac:dyDescent="0.25">
      <c r="A13" s="106"/>
      <c r="B13" s="669" t="s">
        <v>599</v>
      </c>
      <c r="C13" s="666"/>
      <c r="D13" s="670">
        <v>39303555.639999986</v>
      </c>
      <c r="G13" s="686" t="s">
        <v>479</v>
      </c>
      <c r="H13" s="687">
        <v>20837445.71000002</v>
      </c>
      <c r="I13" s="234"/>
    </row>
    <row r="14" spans="1:9" ht="12" x14ac:dyDescent="0.2">
      <c r="A14" s="106"/>
      <c r="B14" s="667">
        <v>801210000</v>
      </c>
      <c r="C14" s="671" t="s">
        <v>469</v>
      </c>
      <c r="D14" s="668">
        <v>1593302.2399999998</v>
      </c>
      <c r="G14" s="686" t="s">
        <v>485</v>
      </c>
      <c r="H14" s="687">
        <v>11995684.299999991</v>
      </c>
      <c r="I14" s="234"/>
    </row>
    <row r="15" spans="1:9" ht="12" x14ac:dyDescent="0.2">
      <c r="A15" s="106"/>
      <c r="B15" s="667">
        <v>801220000</v>
      </c>
      <c r="C15" s="671" t="s">
        <v>470</v>
      </c>
      <c r="D15" s="668">
        <v>37706213.399999984</v>
      </c>
      <c r="G15" s="686" t="s">
        <v>133</v>
      </c>
      <c r="H15" s="687">
        <v>13267123.030000003</v>
      </c>
    </row>
    <row r="16" spans="1:9" ht="12.75" x14ac:dyDescent="0.2">
      <c r="A16" s="106"/>
      <c r="B16" s="667">
        <v>801320000</v>
      </c>
      <c r="C16" s="671" t="s">
        <v>470</v>
      </c>
      <c r="D16" s="668">
        <v>4040</v>
      </c>
      <c r="G16" s="682" t="s">
        <v>2247</v>
      </c>
      <c r="H16" s="683">
        <f>SUM(H9:H15)</f>
        <v>249109654.79999998</v>
      </c>
    </row>
    <row r="17" spans="1:8" x14ac:dyDescent="0.25">
      <c r="A17" s="106"/>
      <c r="B17" s="666"/>
      <c r="C17" s="666"/>
      <c r="D17" s="666"/>
      <c r="G17" s="158" t="s">
        <v>327</v>
      </c>
      <c r="H17" s="159"/>
    </row>
    <row r="18" spans="1:8" x14ac:dyDescent="0.25">
      <c r="A18" s="106"/>
      <c r="B18" s="669" t="s">
        <v>472</v>
      </c>
      <c r="C18" s="666"/>
      <c r="D18" s="670">
        <v>12163.18</v>
      </c>
    </row>
    <row r="19" spans="1:8" ht="12" x14ac:dyDescent="0.2">
      <c r="A19" s="106"/>
      <c r="B19" s="667">
        <v>811909200</v>
      </c>
      <c r="C19" s="671" t="s">
        <v>2264</v>
      </c>
      <c r="D19" s="668">
        <v>12163.18</v>
      </c>
    </row>
    <row r="20" spans="1:8" x14ac:dyDescent="0.25">
      <c r="A20" s="106"/>
      <c r="B20" s="666"/>
      <c r="C20" s="666"/>
      <c r="D20" s="666"/>
    </row>
    <row r="21" spans="1:8" x14ac:dyDescent="0.25">
      <c r="A21" s="106"/>
      <c r="B21" s="669" t="s">
        <v>473</v>
      </c>
      <c r="C21" s="666"/>
      <c r="D21" s="670">
        <v>21809252.610000007</v>
      </c>
      <c r="G21" s="162" t="s">
        <v>420</v>
      </c>
    </row>
    <row r="22" spans="1:8" ht="12.75" x14ac:dyDescent="0.2">
      <c r="A22" s="106"/>
      <c r="B22" s="667">
        <v>1209300000</v>
      </c>
      <c r="C22" s="671" t="s">
        <v>501</v>
      </c>
      <c r="D22" s="668">
        <v>3000</v>
      </c>
      <c r="G22" s="163" t="s">
        <v>2269</v>
      </c>
    </row>
    <row r="23" spans="1:8" ht="12" x14ac:dyDescent="0.2">
      <c r="A23" s="106"/>
      <c r="B23" s="667">
        <v>1209991000</v>
      </c>
      <c r="C23" s="671" t="s">
        <v>474</v>
      </c>
      <c r="D23" s="668">
        <v>965483.37999999989</v>
      </c>
      <c r="H23" s="186"/>
    </row>
    <row r="24" spans="1:8" ht="12" x14ac:dyDescent="0.2">
      <c r="A24" s="106"/>
      <c r="B24" s="667">
        <v>1209999000</v>
      </c>
      <c r="C24" s="671" t="s">
        <v>322</v>
      </c>
      <c r="D24" s="668">
        <v>20840769.230000008</v>
      </c>
    </row>
    <row r="25" spans="1:8" x14ac:dyDescent="0.25">
      <c r="A25" s="106"/>
      <c r="B25" s="666"/>
      <c r="C25" s="666"/>
      <c r="D25" s="666"/>
    </row>
    <row r="26" spans="1:8" x14ac:dyDescent="0.25">
      <c r="A26" s="106"/>
      <c r="B26" s="669" t="s">
        <v>475</v>
      </c>
      <c r="C26" s="666"/>
      <c r="D26" s="670">
        <v>2030139.3899999997</v>
      </c>
    </row>
    <row r="27" spans="1:8" ht="12" x14ac:dyDescent="0.2">
      <c r="A27" s="106"/>
      <c r="B27" s="667">
        <v>1211300000</v>
      </c>
      <c r="C27" s="671" t="s">
        <v>476</v>
      </c>
      <c r="D27" s="668">
        <v>982366.39999999991</v>
      </c>
    </row>
    <row r="28" spans="1:8" ht="12" x14ac:dyDescent="0.2">
      <c r="A28" s="106"/>
      <c r="B28" s="667">
        <v>1211905000</v>
      </c>
      <c r="C28" s="671" t="s">
        <v>2265</v>
      </c>
      <c r="D28" s="668">
        <v>1047772.9899999998</v>
      </c>
    </row>
    <row r="29" spans="1:8" x14ac:dyDescent="0.25">
      <c r="A29" s="106"/>
      <c r="B29" s="666"/>
      <c r="C29" s="666"/>
      <c r="D29" s="666"/>
    </row>
    <row r="30" spans="1:8" x14ac:dyDescent="0.25">
      <c r="A30" s="106"/>
      <c r="B30" s="672" t="s">
        <v>477</v>
      </c>
      <c r="C30" s="666"/>
      <c r="D30" s="670">
        <v>93557.099999999991</v>
      </c>
    </row>
    <row r="31" spans="1:8" ht="12" x14ac:dyDescent="0.2">
      <c r="A31" s="106"/>
      <c r="B31" s="667">
        <v>1212920000</v>
      </c>
      <c r="C31" s="671" t="s">
        <v>478</v>
      </c>
      <c r="D31" s="668">
        <v>93557.099999999991</v>
      </c>
    </row>
    <row r="32" spans="1:8" x14ac:dyDescent="0.25">
      <c r="A32" s="106"/>
      <c r="B32" s="666"/>
      <c r="C32" s="666"/>
      <c r="D32" s="666"/>
    </row>
    <row r="33" spans="1:4" x14ac:dyDescent="0.25">
      <c r="A33" s="106"/>
      <c r="B33" s="669" t="s">
        <v>479</v>
      </c>
      <c r="C33" s="666"/>
      <c r="D33" s="670">
        <v>20837445.71000002</v>
      </c>
    </row>
    <row r="34" spans="1:4" ht="12" x14ac:dyDescent="0.2">
      <c r="A34" s="106"/>
      <c r="B34" s="667">
        <v>1301200000</v>
      </c>
      <c r="C34" s="671" t="s">
        <v>503</v>
      </c>
      <c r="D34" s="668">
        <v>9071.07</v>
      </c>
    </row>
    <row r="35" spans="1:4" ht="12" x14ac:dyDescent="0.2">
      <c r="A35" s="106"/>
      <c r="B35" s="667">
        <v>1301909090</v>
      </c>
      <c r="C35" s="671" t="s">
        <v>322</v>
      </c>
      <c r="D35" s="668">
        <v>88709.75</v>
      </c>
    </row>
    <row r="36" spans="1:4" ht="12" x14ac:dyDescent="0.2">
      <c r="A36" s="106"/>
      <c r="B36" s="667">
        <v>1302191900</v>
      </c>
      <c r="C36" s="671" t="s">
        <v>322</v>
      </c>
      <c r="D36" s="668">
        <v>129454.31000000001</v>
      </c>
    </row>
    <row r="37" spans="1:4" ht="12" x14ac:dyDescent="0.2">
      <c r="A37" s="106"/>
      <c r="B37" s="667">
        <v>1302199900</v>
      </c>
      <c r="C37" s="671" t="s">
        <v>322</v>
      </c>
      <c r="D37" s="668">
        <v>2757117.7800000003</v>
      </c>
    </row>
    <row r="38" spans="1:4" ht="12" x14ac:dyDescent="0.2">
      <c r="A38" s="106"/>
      <c r="B38" s="667">
        <v>1302200000</v>
      </c>
      <c r="C38" s="671" t="s">
        <v>504</v>
      </c>
      <c r="D38" s="668">
        <v>397341.99</v>
      </c>
    </row>
    <row r="39" spans="1:4" ht="22.5" x14ac:dyDescent="0.2">
      <c r="A39" s="106"/>
      <c r="B39" s="667">
        <v>1302320000</v>
      </c>
      <c r="C39" s="671" t="s">
        <v>482</v>
      </c>
      <c r="D39" s="668">
        <v>148349.70999999996</v>
      </c>
    </row>
    <row r="40" spans="1:4" ht="12" x14ac:dyDescent="0.2">
      <c r="A40" s="106"/>
      <c r="B40" s="667">
        <v>1302391000</v>
      </c>
      <c r="C40" s="671" t="s">
        <v>2266</v>
      </c>
      <c r="D40" s="668">
        <v>16782653.230000019</v>
      </c>
    </row>
    <row r="41" spans="1:4" ht="12" x14ac:dyDescent="0.2">
      <c r="A41" s="117"/>
      <c r="B41" s="667">
        <v>1302399000</v>
      </c>
      <c r="C41" s="671" t="s">
        <v>322</v>
      </c>
      <c r="D41" s="668">
        <v>524747.87</v>
      </c>
    </row>
    <row r="42" spans="1:4" x14ac:dyDescent="0.25">
      <c r="A42" s="117"/>
      <c r="B42" s="666"/>
      <c r="C42" s="666"/>
      <c r="D42" s="666"/>
    </row>
    <row r="43" spans="1:4" x14ac:dyDescent="0.25">
      <c r="A43" s="117"/>
      <c r="B43" s="669" t="s">
        <v>483</v>
      </c>
      <c r="C43" s="666"/>
      <c r="D43" s="670">
        <v>15123</v>
      </c>
    </row>
    <row r="44" spans="1:4" ht="12" x14ac:dyDescent="0.2">
      <c r="A44" s="117"/>
      <c r="B44" s="667">
        <v>1401100000</v>
      </c>
      <c r="C44" s="671" t="s">
        <v>484</v>
      </c>
      <c r="D44" s="668">
        <v>15113</v>
      </c>
    </row>
    <row r="45" spans="1:4" ht="12" x14ac:dyDescent="0.2">
      <c r="A45" s="117"/>
      <c r="B45" s="667">
        <v>1401900000</v>
      </c>
      <c r="C45" s="671" t="s">
        <v>326</v>
      </c>
      <c r="D45" s="668">
        <v>10</v>
      </c>
    </row>
    <row r="46" spans="1:4" x14ac:dyDescent="0.25">
      <c r="A46" s="117"/>
      <c r="B46" s="666"/>
      <c r="C46" s="666"/>
      <c r="D46" s="666"/>
    </row>
    <row r="47" spans="1:4" x14ac:dyDescent="0.25">
      <c r="A47" s="117"/>
      <c r="B47" s="669" t="s">
        <v>279</v>
      </c>
      <c r="C47" s="666"/>
      <c r="D47" s="670">
        <v>56408984.680000015</v>
      </c>
    </row>
    <row r="48" spans="1:4" ht="12" x14ac:dyDescent="0.2">
      <c r="A48" s="117"/>
      <c r="B48" s="667">
        <v>1404902000</v>
      </c>
      <c r="C48" s="671" t="s">
        <v>2267</v>
      </c>
      <c r="D48" s="668">
        <v>56408984.680000015</v>
      </c>
    </row>
    <row r="49" spans="1:4" x14ac:dyDescent="0.25">
      <c r="A49" s="117"/>
      <c r="B49" s="666"/>
      <c r="C49" s="666"/>
      <c r="D49" s="666"/>
    </row>
    <row r="50" spans="1:4" x14ac:dyDescent="0.25">
      <c r="A50" s="117"/>
      <c r="B50" s="669" t="s">
        <v>485</v>
      </c>
      <c r="C50" s="666"/>
      <c r="D50" s="670">
        <v>11995684.299999991</v>
      </c>
    </row>
    <row r="51" spans="1:4" ht="12" x14ac:dyDescent="0.2">
      <c r="A51" s="117"/>
      <c r="B51" s="667">
        <v>2005910000</v>
      </c>
      <c r="C51" s="671" t="s">
        <v>508</v>
      </c>
      <c r="D51" s="668">
        <v>34.56</v>
      </c>
    </row>
    <row r="52" spans="1:4" ht="12" x14ac:dyDescent="0.2">
      <c r="A52" s="117"/>
      <c r="B52" s="667">
        <v>2008910000</v>
      </c>
      <c r="C52" s="671" t="s">
        <v>486</v>
      </c>
      <c r="D52" s="668">
        <v>11995649.739999991</v>
      </c>
    </row>
    <row r="53" spans="1:4" x14ac:dyDescent="0.25">
      <c r="A53" s="117"/>
      <c r="B53" s="666"/>
      <c r="C53" s="666"/>
      <c r="D53" s="666"/>
    </row>
    <row r="54" spans="1:4" x14ac:dyDescent="0.25">
      <c r="A54" s="117"/>
      <c r="B54" s="669" t="s">
        <v>487</v>
      </c>
      <c r="C54" s="666"/>
      <c r="D54" s="670">
        <v>85487608.829999968</v>
      </c>
    </row>
    <row r="55" spans="1:4" ht="12" x14ac:dyDescent="0.2">
      <c r="A55" s="117"/>
      <c r="B55" s="667">
        <v>3201100000</v>
      </c>
      <c r="C55" s="671" t="s">
        <v>488</v>
      </c>
      <c r="D55" s="668">
        <v>311307.62</v>
      </c>
    </row>
    <row r="56" spans="1:4" ht="12" x14ac:dyDescent="0.2">
      <c r="A56" s="117"/>
      <c r="B56" s="667">
        <v>3201200000</v>
      </c>
      <c r="C56" s="671" t="s">
        <v>509</v>
      </c>
      <c r="D56" s="668">
        <v>2864.49</v>
      </c>
    </row>
    <row r="57" spans="1:4" ht="12" x14ac:dyDescent="0.2">
      <c r="A57" s="117"/>
      <c r="B57" s="667">
        <v>3201909090</v>
      </c>
      <c r="C57" s="671" t="s">
        <v>322</v>
      </c>
      <c r="D57" s="668">
        <v>37000</v>
      </c>
    </row>
    <row r="58" spans="1:4" ht="12" x14ac:dyDescent="0.2">
      <c r="A58" s="117"/>
      <c r="B58" s="667">
        <v>3203001900</v>
      </c>
      <c r="C58" s="671" t="s">
        <v>326</v>
      </c>
      <c r="D58" s="668">
        <v>5379688.009999997</v>
      </c>
    </row>
    <row r="59" spans="1:4" ht="12" x14ac:dyDescent="0.2">
      <c r="A59" s="117"/>
      <c r="B59" s="667">
        <v>3203002100</v>
      </c>
      <c r="C59" s="671" t="s">
        <v>489</v>
      </c>
      <c r="D59" s="668">
        <v>79607936.159999982</v>
      </c>
    </row>
    <row r="60" spans="1:4" ht="12" x14ac:dyDescent="0.2">
      <c r="A60" s="117"/>
      <c r="B60" s="667">
        <v>3203002900</v>
      </c>
      <c r="C60" s="671" t="s">
        <v>326</v>
      </c>
      <c r="D60" s="668">
        <v>148812.55000000002</v>
      </c>
    </row>
    <row r="61" spans="1:4" ht="12" x14ac:dyDescent="0.2">
      <c r="A61" s="117"/>
      <c r="B61" s="184"/>
      <c r="C61" s="183"/>
      <c r="D61" s="175"/>
    </row>
    <row r="62" spans="1:4" x14ac:dyDescent="0.25">
      <c r="A62" s="117"/>
      <c r="B62" s="669" t="s">
        <v>490</v>
      </c>
      <c r="C62" s="666"/>
      <c r="D62" s="670">
        <v>798764.80999999982</v>
      </c>
    </row>
    <row r="63" spans="1:4" ht="12" x14ac:dyDescent="0.2">
      <c r="A63" s="117"/>
      <c r="B63" s="667">
        <v>3301292000</v>
      </c>
      <c r="C63" s="671" t="s">
        <v>491</v>
      </c>
      <c r="D63" s="668">
        <v>0.8</v>
      </c>
    </row>
    <row r="64" spans="1:4" ht="12" x14ac:dyDescent="0.2">
      <c r="A64" s="117"/>
      <c r="B64" s="667">
        <v>3301299000</v>
      </c>
      <c r="C64" s="671" t="s">
        <v>322</v>
      </c>
      <c r="D64" s="668">
        <v>798764.00999999978</v>
      </c>
    </row>
    <row r="65" spans="1:4" ht="12" x14ac:dyDescent="0.2">
      <c r="A65" s="117"/>
      <c r="B65" s="185"/>
      <c r="C65" s="183"/>
      <c r="D65" s="170"/>
    </row>
    <row r="66" spans="1:4" x14ac:dyDescent="0.25">
      <c r="A66" s="117"/>
      <c r="B66" s="669" t="s">
        <v>492</v>
      </c>
      <c r="C66" s="666"/>
      <c r="D66" s="670">
        <v>8746659.6500000022</v>
      </c>
    </row>
    <row r="67" spans="1:4" ht="12" x14ac:dyDescent="0.2">
      <c r="A67" s="117"/>
      <c r="B67" s="667">
        <v>4001100000</v>
      </c>
      <c r="C67" s="671" t="s">
        <v>493</v>
      </c>
      <c r="D67" s="668">
        <v>11864.88</v>
      </c>
    </row>
    <row r="68" spans="1:4" ht="12" x14ac:dyDescent="0.2">
      <c r="A68" s="117"/>
      <c r="B68" s="667">
        <v>4001220000</v>
      </c>
      <c r="C68" s="671" t="s">
        <v>495</v>
      </c>
      <c r="D68" s="668">
        <v>8691456.2500000019</v>
      </c>
    </row>
    <row r="69" spans="1:4" ht="12" x14ac:dyDescent="0.2">
      <c r="A69" s="106"/>
      <c r="B69" s="667">
        <v>4001299000</v>
      </c>
      <c r="C69" s="671" t="s">
        <v>322</v>
      </c>
      <c r="D69" s="668">
        <v>43338.520000000004</v>
      </c>
    </row>
    <row r="70" spans="1:4" ht="12" x14ac:dyDescent="0.2">
      <c r="A70" s="106"/>
      <c r="B70" s="184"/>
      <c r="C70" s="183"/>
      <c r="D70" s="175"/>
    </row>
    <row r="71" spans="1:4" x14ac:dyDescent="0.25">
      <c r="A71" s="106"/>
      <c r="B71" s="669" t="s">
        <v>496</v>
      </c>
      <c r="C71" s="666"/>
      <c r="D71" s="670">
        <v>1153169.5300000007</v>
      </c>
    </row>
    <row r="72" spans="1:4" ht="12" x14ac:dyDescent="0.2">
      <c r="A72" s="117"/>
      <c r="B72" s="667">
        <v>4601210000</v>
      </c>
      <c r="C72" s="671" t="s">
        <v>419</v>
      </c>
      <c r="D72" s="668">
        <v>1993.69</v>
      </c>
    </row>
    <row r="73" spans="1:4" ht="12" x14ac:dyDescent="0.2">
      <c r="A73" s="117"/>
      <c r="B73" s="667">
        <v>4601290000</v>
      </c>
      <c r="C73" s="671" t="s">
        <v>322</v>
      </c>
      <c r="D73" s="668">
        <v>26260</v>
      </c>
    </row>
    <row r="74" spans="1:4" ht="12" x14ac:dyDescent="0.2">
      <c r="A74" s="117"/>
      <c r="B74" s="667">
        <v>4601940000</v>
      </c>
      <c r="C74" s="671" t="s">
        <v>497</v>
      </c>
      <c r="D74" s="668">
        <v>2152.02</v>
      </c>
    </row>
    <row r="75" spans="1:4" ht="12" x14ac:dyDescent="0.2">
      <c r="A75" s="117"/>
      <c r="B75" s="667">
        <v>4601990000</v>
      </c>
      <c r="C75" s="671" t="s">
        <v>322</v>
      </c>
      <c r="D75" s="668">
        <v>16280</v>
      </c>
    </row>
    <row r="76" spans="1:4" ht="12" x14ac:dyDescent="0.2">
      <c r="A76" s="117"/>
      <c r="B76" s="667">
        <v>4602110000</v>
      </c>
      <c r="C76" s="671" t="s">
        <v>419</v>
      </c>
      <c r="D76" s="668">
        <v>3879.78</v>
      </c>
    </row>
    <row r="77" spans="1:4" ht="12" x14ac:dyDescent="0.2">
      <c r="A77" s="117"/>
      <c r="B77" s="667">
        <v>4602120000</v>
      </c>
      <c r="C77" s="671" t="s">
        <v>513</v>
      </c>
      <c r="D77" s="668">
        <v>257.42</v>
      </c>
    </row>
    <row r="78" spans="1:4" ht="12" x14ac:dyDescent="0.2">
      <c r="A78" s="117"/>
      <c r="B78" s="667">
        <v>4602190000</v>
      </c>
      <c r="C78" s="671" t="s">
        <v>322</v>
      </c>
      <c r="D78" s="668">
        <v>1094269.3500000008</v>
      </c>
    </row>
    <row r="79" spans="1:4" ht="12" x14ac:dyDescent="0.2">
      <c r="A79" s="117"/>
      <c r="B79" s="667">
        <v>4602900000</v>
      </c>
      <c r="C79" s="671" t="s">
        <v>322</v>
      </c>
      <c r="D79" s="668">
        <v>8077.2699999999995</v>
      </c>
    </row>
    <row r="80" spans="1:4" ht="12" x14ac:dyDescent="0.2">
      <c r="A80" s="117"/>
      <c r="B80" s="155"/>
      <c r="C80" s="156"/>
      <c r="D80" s="157"/>
    </row>
    <row r="81" spans="1:4" x14ac:dyDescent="0.25">
      <c r="A81" s="117"/>
      <c r="B81" s="669" t="s">
        <v>498</v>
      </c>
      <c r="C81" s="666"/>
      <c r="D81" s="670">
        <v>8.1999999999999993</v>
      </c>
    </row>
    <row r="82" spans="1:4" ht="12" x14ac:dyDescent="0.2">
      <c r="A82" s="117"/>
      <c r="B82" s="667">
        <v>4823610000</v>
      </c>
      <c r="C82" s="671" t="s">
        <v>419</v>
      </c>
      <c r="D82" s="668">
        <v>8.1999999999999993</v>
      </c>
    </row>
    <row r="83" spans="1:4" ht="12" x14ac:dyDescent="0.2">
      <c r="A83" s="117"/>
      <c r="B83" s="155"/>
      <c r="C83" s="156"/>
      <c r="D83" s="157"/>
    </row>
    <row r="84" spans="1:4" x14ac:dyDescent="0.25">
      <c r="A84" s="117"/>
      <c r="B84" s="669" t="s">
        <v>499</v>
      </c>
      <c r="C84" s="666"/>
      <c r="D84" s="670">
        <v>365561.67</v>
      </c>
    </row>
    <row r="85" spans="1:4" ht="12" x14ac:dyDescent="0.2">
      <c r="A85" s="117"/>
      <c r="B85" s="667">
        <v>9401530000</v>
      </c>
      <c r="C85" s="671" t="s">
        <v>513</v>
      </c>
      <c r="D85" s="668">
        <v>750</v>
      </c>
    </row>
    <row r="86" spans="1:4" ht="12" x14ac:dyDescent="0.2">
      <c r="A86" s="117"/>
      <c r="B86" s="667">
        <v>9403890000</v>
      </c>
      <c r="C86" s="671" t="s">
        <v>322</v>
      </c>
      <c r="D86" s="668">
        <v>364811.67</v>
      </c>
    </row>
    <row r="87" spans="1:4" ht="12" x14ac:dyDescent="0.2">
      <c r="A87" s="117"/>
      <c r="B87" s="173"/>
      <c r="C87" s="183"/>
      <c r="D87" s="175"/>
    </row>
    <row r="88" spans="1:4" ht="15" customHeight="1" x14ac:dyDescent="0.2">
      <c r="A88" s="117"/>
      <c r="B88" s="660" t="s">
        <v>2247</v>
      </c>
      <c r="C88" s="652"/>
      <c r="D88" s="661">
        <v>249109654.79999998</v>
      </c>
    </row>
    <row r="89" spans="1:4" ht="12" x14ac:dyDescent="0.2">
      <c r="A89" s="117"/>
      <c r="B89" s="184" t="s">
        <v>327</v>
      </c>
      <c r="C89" s="183"/>
      <c r="D89" s="175"/>
    </row>
    <row r="90" spans="1:4" ht="12.75" x14ac:dyDescent="0.2">
      <c r="A90" s="117"/>
    </row>
    <row r="91" spans="1:4" ht="14.25" customHeight="1" x14ac:dyDescent="0.2">
      <c r="A91" s="117"/>
    </row>
    <row r="92" spans="1:4" ht="12.75" x14ac:dyDescent="0.2">
      <c r="A92" s="117"/>
    </row>
    <row r="93" spans="1:4" ht="12.75" x14ac:dyDescent="0.2">
      <c r="A93" s="117"/>
    </row>
    <row r="94" spans="1:4" ht="12.75" x14ac:dyDescent="0.2">
      <c r="A94" s="117"/>
    </row>
    <row r="95" spans="1:4" ht="12.75" x14ac:dyDescent="0.2">
      <c r="A95" s="117"/>
    </row>
    <row r="96" spans="1:4" ht="12.75" x14ac:dyDescent="0.2">
      <c r="A96" s="117"/>
    </row>
    <row r="97" spans="1:1" ht="12.75" x14ac:dyDescent="0.2">
      <c r="A97" s="117"/>
    </row>
    <row r="98" spans="1:1" ht="12.75" x14ac:dyDescent="0.2">
      <c r="A98" s="117"/>
    </row>
  </sheetData>
  <hyperlinks>
    <hyperlink ref="A1" location="INDICE!A1" display="(Ir al Índice)" xr:uid="{5B23452E-7430-437E-B81C-C5738931A44A}"/>
  </hyperlink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5621-7307-439E-B3AC-5CA24B95C35F}">
  <sheetPr>
    <tabColor theme="4"/>
  </sheetPr>
  <dimension ref="A1:K102"/>
  <sheetViews>
    <sheetView showGridLines="0" workbookViewId="0"/>
  </sheetViews>
  <sheetFormatPr baseColWidth="10" defaultColWidth="11.42578125" defaultRowHeight="15" x14ac:dyDescent="0.25"/>
  <cols>
    <col min="1" max="1" width="4.28515625" style="103" customWidth="1"/>
    <col min="2" max="2" width="16" style="184" customWidth="1"/>
    <col min="3" max="3" width="56.7109375" style="169" customWidth="1"/>
    <col min="4" max="4" width="15.42578125" style="175" customWidth="1"/>
    <col min="5" max="5" width="11.42578125" style="187"/>
    <col min="6" max="6" width="11.42578125" style="151"/>
    <col min="7" max="7" width="67.140625" style="151" customWidth="1"/>
    <col min="8" max="8" width="16.140625" style="151" customWidth="1"/>
    <col min="9" max="9" width="11.42578125" style="151"/>
    <col min="10" max="10" width="41.5703125" style="151" customWidth="1"/>
    <col min="11" max="11" width="13.7109375" style="151" bestFit="1" customWidth="1"/>
    <col min="12" max="16384" width="11.42578125" style="151"/>
  </cols>
  <sheetData>
    <row r="1" spans="1:11" x14ac:dyDescent="0.25">
      <c r="A1" s="78" t="s">
        <v>43</v>
      </c>
    </row>
    <row r="2" spans="1:11" x14ac:dyDescent="0.25">
      <c r="A2" s="93"/>
    </row>
    <row r="3" spans="1:11" x14ac:dyDescent="0.25">
      <c r="A3" s="93"/>
      <c r="B3" s="102" t="s">
        <v>41</v>
      </c>
    </row>
    <row r="4" spans="1:11" x14ac:dyDescent="0.25">
      <c r="A4" s="93"/>
    </row>
    <row r="5" spans="1:11" x14ac:dyDescent="0.25">
      <c r="B5" s="188" t="s">
        <v>2270</v>
      </c>
      <c r="C5" s="185"/>
      <c r="D5" s="185"/>
      <c r="G5" s="152" t="s">
        <v>2273</v>
      </c>
    </row>
    <row r="6" spans="1:11" ht="24" x14ac:dyDescent="0.25">
      <c r="B6" s="648" t="s">
        <v>317</v>
      </c>
      <c r="C6" s="627" t="s">
        <v>318</v>
      </c>
      <c r="D6" s="627" t="s">
        <v>417</v>
      </c>
      <c r="G6" s="627" t="s">
        <v>318</v>
      </c>
      <c r="H6" s="627" t="s">
        <v>417</v>
      </c>
    </row>
    <row r="7" spans="1:11" x14ac:dyDescent="0.25">
      <c r="B7" s="678" t="s">
        <v>2271</v>
      </c>
      <c r="C7" s="694"/>
      <c r="D7" s="695">
        <v>3789568.9900000007</v>
      </c>
      <c r="G7" s="700" t="s">
        <v>479</v>
      </c>
      <c r="H7" s="701">
        <v>20883098.850000009</v>
      </c>
      <c r="J7" s="174"/>
      <c r="K7" s="233"/>
    </row>
    <row r="8" spans="1:11" x14ac:dyDescent="0.25">
      <c r="B8" s="689">
        <v>1209300000</v>
      </c>
      <c r="C8" s="693" t="s">
        <v>501</v>
      </c>
      <c r="D8" s="690">
        <v>478348.96000000043</v>
      </c>
      <c r="G8" s="702" t="s">
        <v>492</v>
      </c>
      <c r="H8" s="703">
        <v>16930183.199999992</v>
      </c>
      <c r="J8" s="174"/>
      <c r="K8" s="233"/>
    </row>
    <row r="9" spans="1:11" x14ac:dyDescent="0.25">
      <c r="A9" s="106"/>
      <c r="B9" s="689">
        <v>1209991000</v>
      </c>
      <c r="C9" s="693" t="s">
        <v>474</v>
      </c>
      <c r="D9" s="690">
        <v>1406999.5400000005</v>
      </c>
      <c r="G9" s="698" t="s">
        <v>487</v>
      </c>
      <c r="H9" s="699">
        <v>4127590.6000000006</v>
      </c>
      <c r="J9" s="174"/>
      <c r="K9" s="233"/>
    </row>
    <row r="10" spans="1:11" x14ac:dyDescent="0.25">
      <c r="A10" s="106"/>
      <c r="B10" s="689">
        <v>1209999000</v>
      </c>
      <c r="C10" s="693" t="s">
        <v>322</v>
      </c>
      <c r="D10" s="690">
        <v>1904220.4899999998</v>
      </c>
      <c r="G10" s="700" t="s">
        <v>2271</v>
      </c>
      <c r="H10" s="701">
        <v>3789568.9900000007</v>
      </c>
      <c r="J10" s="174"/>
      <c r="K10" s="233"/>
    </row>
    <row r="11" spans="1:11" x14ac:dyDescent="0.25">
      <c r="A11" s="106"/>
      <c r="B11" s="688"/>
      <c r="C11" s="688"/>
      <c r="D11" s="688"/>
      <c r="G11" s="702" t="s">
        <v>490</v>
      </c>
      <c r="H11" s="703">
        <v>1920390.0700000003</v>
      </c>
      <c r="J11" s="174"/>
      <c r="K11" s="233"/>
    </row>
    <row r="12" spans="1:11" x14ac:dyDescent="0.25">
      <c r="A12" s="106"/>
      <c r="B12" s="691" t="s">
        <v>477</v>
      </c>
      <c r="C12" s="688"/>
      <c r="D12" s="692">
        <v>173617.92000000001</v>
      </c>
      <c r="G12" s="702" t="s">
        <v>496</v>
      </c>
      <c r="H12" s="703">
        <v>1377290.9500000011</v>
      </c>
      <c r="J12" s="174"/>
      <c r="K12" s="233"/>
    </row>
    <row r="13" spans="1:11" x14ac:dyDescent="0.25">
      <c r="A13" s="106"/>
      <c r="B13" s="689">
        <v>1212920000</v>
      </c>
      <c r="C13" s="693" t="s">
        <v>478</v>
      </c>
      <c r="D13" s="690">
        <v>173617.92000000001</v>
      </c>
      <c r="G13" s="702" t="s">
        <v>133</v>
      </c>
      <c r="H13" s="703">
        <v>2057712.5499999998</v>
      </c>
      <c r="J13" s="174"/>
      <c r="K13" s="233"/>
    </row>
    <row r="14" spans="1:11" x14ac:dyDescent="0.25">
      <c r="A14" s="106"/>
      <c r="B14" s="688"/>
      <c r="C14" s="688"/>
      <c r="D14" s="688"/>
      <c r="G14" s="697" t="s">
        <v>45</v>
      </c>
      <c r="H14" s="679">
        <f>+SUM(H7:H13)</f>
        <v>51085835.210000001</v>
      </c>
      <c r="K14" s="233"/>
    </row>
    <row r="15" spans="1:11" x14ac:dyDescent="0.25">
      <c r="A15" s="106"/>
      <c r="B15" s="691" t="s">
        <v>479</v>
      </c>
      <c r="C15" s="688"/>
      <c r="D15" s="692">
        <v>20883098.850000009</v>
      </c>
      <c r="G15" s="158" t="s">
        <v>327</v>
      </c>
      <c r="H15" s="159"/>
    </row>
    <row r="16" spans="1:11" x14ac:dyDescent="0.25">
      <c r="A16" s="106"/>
      <c r="B16" s="689">
        <v>1301200000</v>
      </c>
      <c r="C16" s="693" t="s">
        <v>503</v>
      </c>
      <c r="D16" s="690">
        <v>552615.07999999996</v>
      </c>
    </row>
    <row r="17" spans="1:7" x14ac:dyDescent="0.25">
      <c r="A17" s="106"/>
      <c r="B17" s="689">
        <v>1301904000</v>
      </c>
      <c r="C17" s="693" t="s">
        <v>480</v>
      </c>
      <c r="D17" s="690">
        <v>5336.95</v>
      </c>
    </row>
    <row r="18" spans="1:7" x14ac:dyDescent="0.25">
      <c r="A18" s="106"/>
      <c r="B18" s="689">
        <v>1301909010</v>
      </c>
      <c r="C18" s="693" t="s">
        <v>481</v>
      </c>
      <c r="D18" s="690">
        <v>28435.39</v>
      </c>
      <c r="G18" s="162" t="s">
        <v>471</v>
      </c>
    </row>
    <row r="19" spans="1:7" x14ac:dyDescent="0.25">
      <c r="A19" s="106"/>
      <c r="B19" s="689">
        <v>1301909090</v>
      </c>
      <c r="C19" s="693" t="s">
        <v>322</v>
      </c>
      <c r="D19" s="690">
        <v>347925.85000000009</v>
      </c>
      <c r="G19" s="163" t="s">
        <v>2274</v>
      </c>
    </row>
    <row r="20" spans="1:7" ht="18" customHeight="1" x14ac:dyDescent="0.25">
      <c r="A20" s="106"/>
      <c r="B20" s="689">
        <v>1302191900</v>
      </c>
      <c r="C20" s="693" t="s">
        <v>322</v>
      </c>
      <c r="D20" s="690">
        <v>109058.25</v>
      </c>
    </row>
    <row r="21" spans="1:7" x14ac:dyDescent="0.25">
      <c r="A21" s="106"/>
      <c r="B21" s="689">
        <v>1302199900</v>
      </c>
      <c r="C21" s="693" t="s">
        <v>322</v>
      </c>
      <c r="D21" s="690">
        <v>7011011.7200000109</v>
      </c>
    </row>
    <row r="22" spans="1:7" x14ac:dyDescent="0.25">
      <c r="A22" s="106"/>
      <c r="B22" s="689">
        <v>1302200000</v>
      </c>
      <c r="C22" s="693" t="s">
        <v>504</v>
      </c>
      <c r="D22" s="690">
        <v>4757028.1000000015</v>
      </c>
    </row>
    <row r="23" spans="1:7" x14ac:dyDescent="0.25">
      <c r="A23" s="106"/>
      <c r="B23" s="689">
        <v>1302310000</v>
      </c>
      <c r="C23" s="693" t="s">
        <v>505</v>
      </c>
      <c r="D23" s="690">
        <v>203504.04999999996</v>
      </c>
    </row>
    <row r="24" spans="1:7" ht="23.25" x14ac:dyDescent="0.25">
      <c r="A24" s="106"/>
      <c r="B24" s="689">
        <v>1302320000</v>
      </c>
      <c r="C24" s="693" t="s">
        <v>482</v>
      </c>
      <c r="D24" s="690">
        <v>935111.52000000025</v>
      </c>
    </row>
    <row r="25" spans="1:7" x14ac:dyDescent="0.25">
      <c r="A25" s="106"/>
      <c r="B25" s="689">
        <v>1302399000</v>
      </c>
      <c r="C25" s="693" t="s">
        <v>322</v>
      </c>
      <c r="D25" s="690">
        <v>6933071.9399999976</v>
      </c>
    </row>
    <row r="26" spans="1:7" x14ac:dyDescent="0.25">
      <c r="A26" s="106"/>
      <c r="B26" s="688"/>
      <c r="C26" s="688"/>
      <c r="D26" s="688"/>
    </row>
    <row r="27" spans="1:7" x14ac:dyDescent="0.25">
      <c r="A27" s="106"/>
      <c r="B27" s="691" t="s">
        <v>506</v>
      </c>
      <c r="C27" s="688"/>
      <c r="D27" s="692">
        <v>584713.59000000008</v>
      </c>
    </row>
    <row r="28" spans="1:7" x14ac:dyDescent="0.25">
      <c r="A28" s="106"/>
      <c r="B28" s="689">
        <v>1401100000</v>
      </c>
      <c r="C28" s="693" t="s">
        <v>484</v>
      </c>
      <c r="D28" s="690">
        <v>10450.380000000001</v>
      </c>
    </row>
    <row r="29" spans="1:7" x14ac:dyDescent="0.25">
      <c r="A29" s="106"/>
      <c r="B29" s="689">
        <v>1401200000</v>
      </c>
      <c r="C29" s="693" t="s">
        <v>507</v>
      </c>
      <c r="D29" s="690">
        <v>31070.180000000008</v>
      </c>
    </row>
    <row r="30" spans="1:7" x14ac:dyDescent="0.25">
      <c r="A30" s="106"/>
      <c r="B30" s="689">
        <v>1401900000</v>
      </c>
      <c r="C30" s="693" t="s">
        <v>326</v>
      </c>
      <c r="D30" s="690">
        <v>543193.03</v>
      </c>
    </row>
    <row r="31" spans="1:7" x14ac:dyDescent="0.25">
      <c r="A31" s="106"/>
      <c r="B31" s="688"/>
      <c r="C31" s="688"/>
      <c r="D31" s="688"/>
    </row>
    <row r="32" spans="1:7" x14ac:dyDescent="0.25">
      <c r="A32" s="106"/>
      <c r="B32" s="691" t="s">
        <v>279</v>
      </c>
      <c r="C32" s="688"/>
      <c r="D32" s="692">
        <v>30625</v>
      </c>
    </row>
    <row r="33" spans="1:4" x14ac:dyDescent="0.25">
      <c r="A33" s="106"/>
      <c r="B33" s="689">
        <v>1404902000</v>
      </c>
      <c r="C33" s="693" t="s">
        <v>2267</v>
      </c>
      <c r="D33" s="690">
        <v>30625</v>
      </c>
    </row>
    <row r="34" spans="1:4" x14ac:dyDescent="0.25">
      <c r="A34" s="106"/>
      <c r="B34" s="688"/>
      <c r="C34" s="688"/>
      <c r="D34" s="688"/>
    </row>
    <row r="35" spans="1:4" x14ac:dyDescent="0.25">
      <c r="A35" s="106"/>
      <c r="B35" s="691" t="s">
        <v>485</v>
      </c>
      <c r="C35" s="688"/>
      <c r="D35" s="692">
        <v>95405.39</v>
      </c>
    </row>
    <row r="36" spans="1:4" x14ac:dyDescent="0.25">
      <c r="A36" s="106"/>
      <c r="B36" s="689">
        <v>2005910000</v>
      </c>
      <c r="C36" s="693" t="s">
        <v>508</v>
      </c>
      <c r="D36" s="690">
        <v>59171.18</v>
      </c>
    </row>
    <row r="37" spans="1:4" x14ac:dyDescent="0.25">
      <c r="A37" s="106"/>
      <c r="B37" s="689">
        <v>2008910000</v>
      </c>
      <c r="C37" s="693" t="s">
        <v>486</v>
      </c>
      <c r="D37" s="690">
        <v>36234.21</v>
      </c>
    </row>
    <row r="38" spans="1:4" x14ac:dyDescent="0.25">
      <c r="A38" s="106"/>
      <c r="B38" s="688"/>
      <c r="C38" s="688"/>
      <c r="D38" s="688"/>
    </row>
    <row r="39" spans="1:4" x14ac:dyDescent="0.25">
      <c r="A39" s="106"/>
      <c r="B39" s="691" t="s">
        <v>487</v>
      </c>
      <c r="C39" s="688"/>
      <c r="D39" s="692">
        <v>4127590.6000000006</v>
      </c>
    </row>
    <row r="40" spans="1:4" x14ac:dyDescent="0.25">
      <c r="A40" s="106"/>
      <c r="B40" s="689">
        <v>3201100000</v>
      </c>
      <c r="C40" s="693" t="s">
        <v>488</v>
      </c>
      <c r="D40" s="690">
        <v>1562039.0599999996</v>
      </c>
    </row>
    <row r="41" spans="1:4" x14ac:dyDescent="0.25">
      <c r="A41" s="117"/>
      <c r="B41" s="689">
        <v>3201200000</v>
      </c>
      <c r="C41" s="693" t="s">
        <v>509</v>
      </c>
      <c r="D41" s="690">
        <v>385826.49999999994</v>
      </c>
    </row>
    <row r="42" spans="1:4" x14ac:dyDescent="0.25">
      <c r="A42" s="117"/>
      <c r="B42" s="689">
        <v>3201902000</v>
      </c>
      <c r="C42" s="693" t="s">
        <v>510</v>
      </c>
      <c r="D42" s="690">
        <v>33390.36</v>
      </c>
    </row>
    <row r="43" spans="1:4" x14ac:dyDescent="0.25">
      <c r="A43" s="117"/>
      <c r="B43" s="689">
        <v>3201903000</v>
      </c>
      <c r="C43" s="693" t="s">
        <v>511</v>
      </c>
      <c r="D43" s="690">
        <v>53866.35</v>
      </c>
    </row>
    <row r="44" spans="1:4" x14ac:dyDescent="0.25">
      <c r="A44" s="117"/>
      <c r="B44" s="689">
        <v>3201909090</v>
      </c>
      <c r="C44" s="693" t="s">
        <v>322</v>
      </c>
      <c r="D44" s="690">
        <v>157041.30000000002</v>
      </c>
    </row>
    <row r="45" spans="1:4" x14ac:dyDescent="0.25">
      <c r="A45" s="117"/>
      <c r="B45" s="689">
        <v>3203001100</v>
      </c>
      <c r="C45" s="693" t="s">
        <v>512</v>
      </c>
      <c r="D45" s="690">
        <v>7955.13</v>
      </c>
    </row>
    <row r="46" spans="1:4" x14ac:dyDescent="0.25">
      <c r="A46" s="117"/>
      <c r="B46" s="689">
        <v>3203001300</v>
      </c>
      <c r="C46" s="693" t="s">
        <v>2272</v>
      </c>
      <c r="D46" s="690">
        <v>1430.29</v>
      </c>
    </row>
    <row r="47" spans="1:4" x14ac:dyDescent="0.25">
      <c r="A47" s="117"/>
      <c r="B47" s="689">
        <v>3203001900</v>
      </c>
      <c r="C47" s="693" t="s">
        <v>326</v>
      </c>
      <c r="D47" s="690">
        <v>1555136.1900000009</v>
      </c>
    </row>
    <row r="48" spans="1:4" x14ac:dyDescent="0.25">
      <c r="A48" s="117"/>
      <c r="B48" s="689">
        <v>3203002100</v>
      </c>
      <c r="C48" s="693" t="s">
        <v>489</v>
      </c>
      <c r="D48" s="690">
        <v>298681.45999999996</v>
      </c>
    </row>
    <row r="49" spans="1:4" x14ac:dyDescent="0.25">
      <c r="A49" s="117"/>
      <c r="B49" s="689">
        <v>3203002900</v>
      </c>
      <c r="C49" s="693" t="s">
        <v>326</v>
      </c>
      <c r="D49" s="690">
        <v>72223.959999999992</v>
      </c>
    </row>
    <row r="50" spans="1:4" x14ac:dyDescent="0.25">
      <c r="A50" s="117"/>
      <c r="B50" s="688"/>
      <c r="C50" s="688"/>
      <c r="D50" s="688"/>
    </row>
    <row r="51" spans="1:4" x14ac:dyDescent="0.25">
      <c r="A51" s="117"/>
      <c r="B51" s="691" t="s">
        <v>490</v>
      </c>
      <c r="C51" s="688"/>
      <c r="D51" s="692">
        <v>1920390.0700000003</v>
      </c>
    </row>
    <row r="52" spans="1:4" x14ac:dyDescent="0.25">
      <c r="A52" s="117"/>
      <c r="B52" s="689">
        <v>3301292000</v>
      </c>
      <c r="C52" s="693" t="s">
        <v>491</v>
      </c>
      <c r="D52" s="690">
        <v>344737.99000000005</v>
      </c>
    </row>
    <row r="53" spans="1:4" x14ac:dyDescent="0.25">
      <c r="A53" s="117"/>
      <c r="B53" s="689">
        <v>3301299000</v>
      </c>
      <c r="C53" s="693" t="s">
        <v>322</v>
      </c>
      <c r="D53" s="690">
        <v>1575652.0800000003</v>
      </c>
    </row>
    <row r="54" spans="1:4" x14ac:dyDescent="0.25">
      <c r="A54" s="117"/>
      <c r="B54" s="688"/>
      <c r="C54" s="688"/>
      <c r="D54" s="688"/>
    </row>
    <row r="55" spans="1:4" x14ac:dyDescent="0.25">
      <c r="A55" s="117"/>
      <c r="B55" s="691" t="s">
        <v>492</v>
      </c>
      <c r="C55" s="688"/>
      <c r="D55" s="692">
        <v>16930183.199999992</v>
      </c>
    </row>
    <row r="56" spans="1:4" x14ac:dyDescent="0.25">
      <c r="A56" s="117"/>
      <c r="B56" s="689">
        <v>4001100000</v>
      </c>
      <c r="C56" s="693" t="s">
        <v>493</v>
      </c>
      <c r="D56" s="690">
        <v>903127.31</v>
      </c>
    </row>
    <row r="57" spans="1:4" x14ac:dyDescent="0.25">
      <c r="A57" s="117"/>
      <c r="B57" s="689">
        <v>4001210000</v>
      </c>
      <c r="C57" s="693" t="s">
        <v>494</v>
      </c>
      <c r="D57" s="690">
        <v>2910446.5300000012</v>
      </c>
    </row>
    <row r="58" spans="1:4" x14ac:dyDescent="0.25">
      <c r="A58" s="117"/>
      <c r="B58" s="689">
        <v>4001220000</v>
      </c>
      <c r="C58" s="693" t="s">
        <v>495</v>
      </c>
      <c r="D58" s="690">
        <v>13037037.67999999</v>
      </c>
    </row>
    <row r="59" spans="1:4" x14ac:dyDescent="0.25">
      <c r="A59" s="117"/>
      <c r="B59" s="689">
        <v>4001299000</v>
      </c>
      <c r="C59" s="693" t="s">
        <v>322</v>
      </c>
      <c r="D59" s="690">
        <v>79571.680000000008</v>
      </c>
    </row>
    <row r="60" spans="1:4" x14ac:dyDescent="0.25">
      <c r="A60" s="117"/>
      <c r="B60" s="688"/>
      <c r="C60" s="688"/>
      <c r="D60" s="688"/>
    </row>
    <row r="61" spans="1:4" x14ac:dyDescent="0.25">
      <c r="A61" s="117"/>
      <c r="B61" s="691" t="s">
        <v>333</v>
      </c>
      <c r="C61" s="688"/>
      <c r="D61" s="692">
        <v>404155.06</v>
      </c>
    </row>
    <row r="62" spans="1:4" x14ac:dyDescent="0.25">
      <c r="A62" s="117"/>
      <c r="B62" s="689">
        <v>4409210000</v>
      </c>
      <c r="C62" s="693" t="s">
        <v>419</v>
      </c>
      <c r="D62" s="690">
        <v>261410.29</v>
      </c>
    </row>
    <row r="63" spans="1:4" x14ac:dyDescent="0.25">
      <c r="A63" s="117"/>
      <c r="B63" s="689">
        <v>4412100000</v>
      </c>
      <c r="C63" s="693" t="s">
        <v>419</v>
      </c>
      <c r="D63" s="690">
        <v>15371.64</v>
      </c>
    </row>
    <row r="64" spans="1:4" x14ac:dyDescent="0.25">
      <c r="A64" s="117"/>
      <c r="B64" s="689">
        <v>4418730000</v>
      </c>
      <c r="C64" s="693" t="s">
        <v>428</v>
      </c>
      <c r="D64" s="690">
        <v>127373.13</v>
      </c>
    </row>
    <row r="65" spans="1:4" x14ac:dyDescent="0.25">
      <c r="A65" s="117"/>
      <c r="B65" s="688"/>
      <c r="C65" s="688"/>
      <c r="D65" s="688"/>
    </row>
    <row r="66" spans="1:4" x14ac:dyDescent="0.25">
      <c r="A66" s="117"/>
      <c r="B66" s="691" t="s">
        <v>496</v>
      </c>
      <c r="C66" s="688"/>
      <c r="D66" s="692">
        <v>1377290.9500000011</v>
      </c>
    </row>
    <row r="67" spans="1:4" x14ac:dyDescent="0.25">
      <c r="A67" s="117"/>
      <c r="B67" s="689">
        <v>4601210000</v>
      </c>
      <c r="C67" s="693" t="s">
        <v>419</v>
      </c>
      <c r="D67" s="690">
        <v>8227.85</v>
      </c>
    </row>
    <row r="68" spans="1:4" x14ac:dyDescent="0.25">
      <c r="A68" s="117"/>
      <c r="B68" s="689">
        <v>4601220000</v>
      </c>
      <c r="C68" s="693" t="s">
        <v>513</v>
      </c>
      <c r="D68" s="690">
        <v>4604.66</v>
      </c>
    </row>
    <row r="69" spans="1:4" x14ac:dyDescent="0.25">
      <c r="A69" s="117"/>
      <c r="B69" s="689">
        <v>4601290000</v>
      </c>
      <c r="C69" s="693" t="s">
        <v>322</v>
      </c>
      <c r="D69" s="690">
        <v>45969.490000000005</v>
      </c>
    </row>
    <row r="70" spans="1:4" x14ac:dyDescent="0.25">
      <c r="A70" s="117"/>
      <c r="B70" s="689">
        <v>4601920000</v>
      </c>
      <c r="C70" s="693" t="s">
        <v>419</v>
      </c>
      <c r="D70" s="690">
        <v>16767.63</v>
      </c>
    </row>
    <row r="71" spans="1:4" x14ac:dyDescent="0.25">
      <c r="A71" s="117"/>
      <c r="B71" s="689">
        <v>4601940000</v>
      </c>
      <c r="C71" s="693" t="s">
        <v>497</v>
      </c>
      <c r="D71" s="690">
        <v>15509.59</v>
      </c>
    </row>
    <row r="72" spans="1:4" x14ac:dyDescent="0.25">
      <c r="A72" s="117"/>
      <c r="B72" s="689">
        <v>4601990000</v>
      </c>
      <c r="C72" s="693" t="s">
        <v>322</v>
      </c>
      <c r="D72" s="690">
        <v>38536.239999999991</v>
      </c>
    </row>
    <row r="73" spans="1:4" x14ac:dyDescent="0.25">
      <c r="A73" s="106"/>
      <c r="B73" s="689">
        <v>4602110000</v>
      </c>
      <c r="C73" s="693" t="s">
        <v>419</v>
      </c>
      <c r="D73" s="690">
        <v>144225.85000000006</v>
      </c>
    </row>
    <row r="74" spans="1:4" x14ac:dyDescent="0.25">
      <c r="A74" s="106"/>
      <c r="B74" s="689">
        <v>4602120000</v>
      </c>
      <c r="C74" s="693" t="s">
        <v>513</v>
      </c>
      <c r="D74" s="690">
        <v>60603.539999999986</v>
      </c>
    </row>
    <row r="75" spans="1:4" x14ac:dyDescent="0.25">
      <c r="A75" s="106"/>
      <c r="B75" s="689">
        <v>4602190000</v>
      </c>
      <c r="C75" s="693" t="s">
        <v>322</v>
      </c>
      <c r="D75" s="690">
        <v>513595.46000000054</v>
      </c>
    </row>
    <row r="76" spans="1:4" x14ac:dyDescent="0.25">
      <c r="A76" s="117"/>
      <c r="B76" s="689">
        <v>4602900000</v>
      </c>
      <c r="C76" s="693" t="s">
        <v>322</v>
      </c>
      <c r="D76" s="690">
        <v>529250.64000000048</v>
      </c>
    </row>
    <row r="77" spans="1:4" x14ac:dyDescent="0.25">
      <c r="A77" s="117"/>
      <c r="B77" s="155"/>
      <c r="C77" s="156"/>
      <c r="D77" s="157"/>
    </row>
    <row r="78" spans="1:4" x14ac:dyDescent="0.25">
      <c r="A78" s="117"/>
      <c r="B78" s="691" t="s">
        <v>498</v>
      </c>
      <c r="C78" s="688"/>
      <c r="D78" s="692">
        <v>347579.72999999981</v>
      </c>
    </row>
    <row r="79" spans="1:4" x14ac:dyDescent="0.25">
      <c r="A79" s="117"/>
      <c r="B79" s="689">
        <v>4823610000</v>
      </c>
      <c r="C79" s="693" t="s">
        <v>419</v>
      </c>
      <c r="D79" s="690">
        <v>347579.72999999981</v>
      </c>
    </row>
    <row r="80" spans="1:4" x14ac:dyDescent="0.25">
      <c r="A80" s="117"/>
      <c r="B80" s="155"/>
      <c r="C80" s="156"/>
      <c r="D80" s="157"/>
    </row>
    <row r="81" spans="1:4" x14ac:dyDescent="0.25">
      <c r="A81" s="117"/>
      <c r="B81" s="691" t="s">
        <v>499</v>
      </c>
      <c r="C81" s="688"/>
      <c r="D81" s="696">
        <v>421615.86</v>
      </c>
    </row>
    <row r="82" spans="1:4" x14ac:dyDescent="0.25">
      <c r="A82" s="117"/>
      <c r="B82" s="689">
        <v>9401520000</v>
      </c>
      <c r="C82" s="693" t="s">
        <v>419</v>
      </c>
      <c r="D82" s="690">
        <v>15910.309999999998</v>
      </c>
    </row>
    <row r="83" spans="1:4" x14ac:dyDescent="0.25">
      <c r="A83" s="117"/>
      <c r="B83" s="689">
        <v>9401530000</v>
      </c>
      <c r="C83" s="693" t="s">
        <v>513</v>
      </c>
      <c r="D83" s="690">
        <v>135598.86000000004</v>
      </c>
    </row>
    <row r="84" spans="1:4" x14ac:dyDescent="0.25">
      <c r="A84" s="117"/>
      <c r="B84" s="689">
        <v>9403820000</v>
      </c>
      <c r="C84" s="693" t="s">
        <v>419</v>
      </c>
      <c r="D84" s="690">
        <v>186442.11000000002</v>
      </c>
    </row>
    <row r="85" spans="1:4" x14ac:dyDescent="0.25">
      <c r="A85" s="117"/>
      <c r="B85" s="689">
        <v>9403830000</v>
      </c>
      <c r="C85" s="693" t="s">
        <v>513</v>
      </c>
      <c r="D85" s="690">
        <v>83664.579999999973</v>
      </c>
    </row>
    <row r="86" spans="1:4" x14ac:dyDescent="0.25">
      <c r="A86" s="117"/>
      <c r="B86" s="628" t="s">
        <v>2247</v>
      </c>
      <c r="C86" s="629"/>
      <c r="D86" s="630">
        <v>51085835.210000016</v>
      </c>
    </row>
    <row r="87" spans="1:4" x14ac:dyDescent="0.25">
      <c r="A87" s="117"/>
    </row>
    <row r="88" spans="1:4" x14ac:dyDescent="0.25">
      <c r="A88" s="117"/>
    </row>
    <row r="89" spans="1:4" x14ac:dyDescent="0.25">
      <c r="A89" s="117"/>
    </row>
    <row r="90" spans="1:4" x14ac:dyDescent="0.25">
      <c r="A90" s="117"/>
    </row>
    <row r="91" spans="1:4" x14ac:dyDescent="0.25">
      <c r="A91" s="117"/>
    </row>
    <row r="92" spans="1:4" x14ac:dyDescent="0.25">
      <c r="A92" s="117"/>
    </row>
    <row r="93" spans="1:4" x14ac:dyDescent="0.25">
      <c r="A93" s="117"/>
    </row>
    <row r="94" spans="1:4" x14ac:dyDescent="0.25">
      <c r="A94" s="117"/>
    </row>
    <row r="95" spans="1:4" x14ac:dyDescent="0.25">
      <c r="A95" s="117"/>
    </row>
    <row r="96" spans="1:4" x14ac:dyDescent="0.25">
      <c r="A96" s="117"/>
    </row>
    <row r="97" spans="1:6" x14ac:dyDescent="0.25">
      <c r="A97" s="117"/>
    </row>
    <row r="98" spans="1:6" x14ac:dyDescent="0.25">
      <c r="A98" s="117"/>
    </row>
    <row r="99" spans="1:6" x14ac:dyDescent="0.25">
      <c r="A99" s="117"/>
      <c r="F99" s="160"/>
    </row>
    <row r="100" spans="1:6" x14ac:dyDescent="0.25">
      <c r="A100" s="117"/>
    </row>
    <row r="101" spans="1:6" x14ac:dyDescent="0.25">
      <c r="A101" s="117"/>
    </row>
    <row r="102" spans="1:6" x14ac:dyDescent="0.25">
      <c r="A102" s="117"/>
    </row>
  </sheetData>
  <hyperlinks>
    <hyperlink ref="A1" location="INDICE!A1" display="(Ir al Índice)" xr:uid="{BADEB01A-9416-4C85-849A-8BF0B6B56C8F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046A-9785-451C-8E41-D7443BD20176}">
  <sheetPr>
    <tabColor theme="4"/>
    <pageSetUpPr fitToPage="1"/>
  </sheetPr>
  <dimension ref="A1:AD96"/>
  <sheetViews>
    <sheetView showGridLines="0" zoomScaleNormal="100" workbookViewId="0">
      <selection activeCell="L29" sqref="L29"/>
    </sheetView>
  </sheetViews>
  <sheetFormatPr baseColWidth="10" defaultRowHeight="15" customHeight="1" x14ac:dyDescent="0.3"/>
  <cols>
    <col min="1" max="1" width="4.28515625" style="103" customWidth="1"/>
    <col min="2" max="2" width="44.42578125" style="197" customWidth="1"/>
    <col min="3" max="3" width="14.5703125" style="198" customWidth="1"/>
    <col min="4" max="4" width="4.42578125" style="199" customWidth="1"/>
    <col min="5" max="7" width="11.5703125" style="199"/>
    <col min="8" max="8" width="7.28515625" style="199" customWidth="1"/>
    <col min="9" max="30" width="11.5703125" style="199"/>
    <col min="31" max="240" width="11.5703125" style="200"/>
    <col min="241" max="241" width="2.7109375" style="200" customWidth="1"/>
    <col min="242" max="242" width="24.42578125" style="200" customWidth="1"/>
    <col min="243" max="243" width="7.7109375" style="200" customWidth="1"/>
    <col min="244" max="244" width="8.140625" style="200" customWidth="1"/>
    <col min="245" max="246" width="7.85546875" style="200" customWidth="1"/>
    <col min="247" max="247" width="7.28515625" style="200" customWidth="1"/>
    <col min="248" max="248" width="7.140625" style="200" customWidth="1"/>
    <col min="249" max="249" width="7.28515625" style="200" customWidth="1"/>
    <col min="250" max="250" width="7.7109375" style="200" customWidth="1"/>
    <col min="251" max="251" width="8.140625" style="200" customWidth="1"/>
    <col min="252" max="252" width="7.28515625" style="200" customWidth="1"/>
    <col min="253" max="253" width="9.85546875" style="200" customWidth="1"/>
    <col min="254" max="254" width="7.42578125" style="200" customWidth="1"/>
    <col min="255" max="255" width="6.140625" style="200" customWidth="1"/>
    <col min="256" max="256" width="6.7109375" style="200" customWidth="1"/>
    <col min="257" max="496" width="11.5703125" style="200"/>
    <col min="497" max="497" width="2.7109375" style="200" customWidth="1"/>
    <col min="498" max="498" width="24.42578125" style="200" customWidth="1"/>
    <col min="499" max="499" width="7.7109375" style="200" customWidth="1"/>
    <col min="500" max="500" width="8.140625" style="200" customWidth="1"/>
    <col min="501" max="502" width="7.85546875" style="200" customWidth="1"/>
    <col min="503" max="503" width="7.28515625" style="200" customWidth="1"/>
    <col min="504" max="504" width="7.140625" style="200" customWidth="1"/>
    <col min="505" max="505" width="7.28515625" style="200" customWidth="1"/>
    <col min="506" max="506" width="7.7109375" style="200" customWidth="1"/>
    <col min="507" max="507" width="8.140625" style="200" customWidth="1"/>
    <col min="508" max="508" width="7.28515625" style="200" customWidth="1"/>
    <col min="509" max="509" width="9.85546875" style="200" customWidth="1"/>
    <col min="510" max="510" width="7.42578125" style="200" customWidth="1"/>
    <col min="511" max="511" width="6.140625" style="200" customWidth="1"/>
    <col min="512" max="512" width="6.7109375" style="200" customWidth="1"/>
    <col min="513" max="752" width="11.5703125" style="200"/>
    <col min="753" max="753" width="2.7109375" style="200" customWidth="1"/>
    <col min="754" max="754" width="24.42578125" style="200" customWidth="1"/>
    <col min="755" max="755" width="7.7109375" style="200" customWidth="1"/>
    <col min="756" max="756" width="8.140625" style="200" customWidth="1"/>
    <col min="757" max="758" width="7.85546875" style="200" customWidth="1"/>
    <col min="759" max="759" width="7.28515625" style="200" customWidth="1"/>
    <col min="760" max="760" width="7.140625" style="200" customWidth="1"/>
    <col min="761" max="761" width="7.28515625" style="200" customWidth="1"/>
    <col min="762" max="762" width="7.7109375" style="200" customWidth="1"/>
    <col min="763" max="763" width="8.140625" style="200" customWidth="1"/>
    <col min="764" max="764" width="7.28515625" style="200" customWidth="1"/>
    <col min="765" max="765" width="9.85546875" style="200" customWidth="1"/>
    <col min="766" max="766" width="7.42578125" style="200" customWidth="1"/>
    <col min="767" max="767" width="6.140625" style="200" customWidth="1"/>
    <col min="768" max="768" width="6.7109375" style="200" customWidth="1"/>
    <col min="769" max="1008" width="11.5703125" style="200"/>
    <col min="1009" max="1009" width="2.7109375" style="200" customWidth="1"/>
    <col min="1010" max="1010" width="24.42578125" style="200" customWidth="1"/>
    <col min="1011" max="1011" width="7.7109375" style="200" customWidth="1"/>
    <col min="1012" max="1012" width="8.140625" style="200" customWidth="1"/>
    <col min="1013" max="1014" width="7.85546875" style="200" customWidth="1"/>
    <col min="1015" max="1015" width="7.28515625" style="200" customWidth="1"/>
    <col min="1016" max="1016" width="7.140625" style="200" customWidth="1"/>
    <col min="1017" max="1017" width="7.28515625" style="200" customWidth="1"/>
    <col min="1018" max="1018" width="7.7109375" style="200" customWidth="1"/>
    <col min="1019" max="1019" width="8.140625" style="200" customWidth="1"/>
    <col min="1020" max="1020" width="7.28515625" style="200" customWidth="1"/>
    <col min="1021" max="1021" width="9.85546875" style="200" customWidth="1"/>
    <col min="1022" max="1022" width="7.42578125" style="200" customWidth="1"/>
    <col min="1023" max="1023" width="6.140625" style="200" customWidth="1"/>
    <col min="1024" max="1024" width="6.7109375" style="200" customWidth="1"/>
    <col min="1025" max="1264" width="11.5703125" style="200"/>
    <col min="1265" max="1265" width="2.7109375" style="200" customWidth="1"/>
    <col min="1266" max="1266" width="24.42578125" style="200" customWidth="1"/>
    <col min="1267" max="1267" width="7.7109375" style="200" customWidth="1"/>
    <col min="1268" max="1268" width="8.140625" style="200" customWidth="1"/>
    <col min="1269" max="1270" width="7.85546875" style="200" customWidth="1"/>
    <col min="1271" max="1271" width="7.28515625" style="200" customWidth="1"/>
    <col min="1272" max="1272" width="7.140625" style="200" customWidth="1"/>
    <col min="1273" max="1273" width="7.28515625" style="200" customWidth="1"/>
    <col min="1274" max="1274" width="7.7109375" style="200" customWidth="1"/>
    <col min="1275" max="1275" width="8.140625" style="200" customWidth="1"/>
    <col min="1276" max="1276" width="7.28515625" style="200" customWidth="1"/>
    <col min="1277" max="1277" width="9.85546875" style="200" customWidth="1"/>
    <col min="1278" max="1278" width="7.42578125" style="200" customWidth="1"/>
    <col min="1279" max="1279" width="6.140625" style="200" customWidth="1"/>
    <col min="1280" max="1280" width="6.7109375" style="200" customWidth="1"/>
    <col min="1281" max="1520" width="11.5703125" style="200"/>
    <col min="1521" max="1521" width="2.7109375" style="200" customWidth="1"/>
    <col min="1522" max="1522" width="24.42578125" style="200" customWidth="1"/>
    <col min="1523" max="1523" width="7.7109375" style="200" customWidth="1"/>
    <col min="1524" max="1524" width="8.140625" style="200" customWidth="1"/>
    <col min="1525" max="1526" width="7.85546875" style="200" customWidth="1"/>
    <col min="1527" max="1527" width="7.28515625" style="200" customWidth="1"/>
    <col min="1528" max="1528" width="7.140625" style="200" customWidth="1"/>
    <col min="1529" max="1529" width="7.28515625" style="200" customWidth="1"/>
    <col min="1530" max="1530" width="7.7109375" style="200" customWidth="1"/>
    <col min="1531" max="1531" width="8.140625" style="200" customWidth="1"/>
    <col min="1532" max="1532" width="7.28515625" style="200" customWidth="1"/>
    <col min="1533" max="1533" width="9.85546875" style="200" customWidth="1"/>
    <col min="1534" max="1534" width="7.42578125" style="200" customWidth="1"/>
    <col min="1535" max="1535" width="6.140625" style="200" customWidth="1"/>
    <col min="1536" max="1536" width="6.7109375" style="200" customWidth="1"/>
    <col min="1537" max="1776" width="11.5703125" style="200"/>
    <col min="1777" max="1777" width="2.7109375" style="200" customWidth="1"/>
    <col min="1778" max="1778" width="24.42578125" style="200" customWidth="1"/>
    <col min="1779" max="1779" width="7.7109375" style="200" customWidth="1"/>
    <col min="1780" max="1780" width="8.140625" style="200" customWidth="1"/>
    <col min="1781" max="1782" width="7.85546875" style="200" customWidth="1"/>
    <col min="1783" max="1783" width="7.28515625" style="200" customWidth="1"/>
    <col min="1784" max="1784" width="7.140625" style="200" customWidth="1"/>
    <col min="1785" max="1785" width="7.28515625" style="200" customWidth="1"/>
    <col min="1786" max="1786" width="7.7109375" style="200" customWidth="1"/>
    <col min="1787" max="1787" width="8.140625" style="200" customWidth="1"/>
    <col min="1788" max="1788" width="7.28515625" style="200" customWidth="1"/>
    <col min="1789" max="1789" width="9.85546875" style="200" customWidth="1"/>
    <col min="1790" max="1790" width="7.42578125" style="200" customWidth="1"/>
    <col min="1791" max="1791" width="6.140625" style="200" customWidth="1"/>
    <col min="1792" max="1792" width="6.7109375" style="200" customWidth="1"/>
    <col min="1793" max="2032" width="11.5703125" style="200"/>
    <col min="2033" max="2033" width="2.7109375" style="200" customWidth="1"/>
    <col min="2034" max="2034" width="24.42578125" style="200" customWidth="1"/>
    <col min="2035" max="2035" width="7.7109375" style="200" customWidth="1"/>
    <col min="2036" max="2036" width="8.140625" style="200" customWidth="1"/>
    <col min="2037" max="2038" width="7.85546875" style="200" customWidth="1"/>
    <col min="2039" max="2039" width="7.28515625" style="200" customWidth="1"/>
    <col min="2040" max="2040" width="7.140625" style="200" customWidth="1"/>
    <col min="2041" max="2041" width="7.28515625" style="200" customWidth="1"/>
    <col min="2042" max="2042" width="7.7109375" style="200" customWidth="1"/>
    <col min="2043" max="2043" width="8.140625" style="200" customWidth="1"/>
    <col min="2044" max="2044" width="7.28515625" style="200" customWidth="1"/>
    <col min="2045" max="2045" width="9.85546875" style="200" customWidth="1"/>
    <col min="2046" max="2046" width="7.42578125" style="200" customWidth="1"/>
    <col min="2047" max="2047" width="6.140625" style="200" customWidth="1"/>
    <col min="2048" max="2048" width="6.7109375" style="200" customWidth="1"/>
    <col min="2049" max="2288" width="11.5703125" style="200"/>
    <col min="2289" max="2289" width="2.7109375" style="200" customWidth="1"/>
    <col min="2290" max="2290" width="24.42578125" style="200" customWidth="1"/>
    <col min="2291" max="2291" width="7.7109375" style="200" customWidth="1"/>
    <col min="2292" max="2292" width="8.140625" style="200" customWidth="1"/>
    <col min="2293" max="2294" width="7.85546875" style="200" customWidth="1"/>
    <col min="2295" max="2295" width="7.28515625" style="200" customWidth="1"/>
    <col min="2296" max="2296" width="7.140625" style="200" customWidth="1"/>
    <col min="2297" max="2297" width="7.28515625" style="200" customWidth="1"/>
    <col min="2298" max="2298" width="7.7109375" style="200" customWidth="1"/>
    <col min="2299" max="2299" width="8.140625" style="200" customWidth="1"/>
    <col min="2300" max="2300" width="7.28515625" style="200" customWidth="1"/>
    <col min="2301" max="2301" width="9.85546875" style="200" customWidth="1"/>
    <col min="2302" max="2302" width="7.42578125" style="200" customWidth="1"/>
    <col min="2303" max="2303" width="6.140625" style="200" customWidth="1"/>
    <col min="2304" max="2304" width="6.7109375" style="200" customWidth="1"/>
    <col min="2305" max="2544" width="11.5703125" style="200"/>
    <col min="2545" max="2545" width="2.7109375" style="200" customWidth="1"/>
    <col min="2546" max="2546" width="24.42578125" style="200" customWidth="1"/>
    <col min="2547" max="2547" width="7.7109375" style="200" customWidth="1"/>
    <col min="2548" max="2548" width="8.140625" style="200" customWidth="1"/>
    <col min="2549" max="2550" width="7.85546875" style="200" customWidth="1"/>
    <col min="2551" max="2551" width="7.28515625" style="200" customWidth="1"/>
    <col min="2552" max="2552" width="7.140625" style="200" customWidth="1"/>
    <col min="2553" max="2553" width="7.28515625" style="200" customWidth="1"/>
    <col min="2554" max="2554" width="7.7109375" style="200" customWidth="1"/>
    <col min="2555" max="2555" width="8.140625" style="200" customWidth="1"/>
    <col min="2556" max="2556" width="7.28515625" style="200" customWidth="1"/>
    <col min="2557" max="2557" width="9.85546875" style="200" customWidth="1"/>
    <col min="2558" max="2558" width="7.42578125" style="200" customWidth="1"/>
    <col min="2559" max="2559" width="6.140625" style="200" customWidth="1"/>
    <col min="2560" max="2560" width="6.7109375" style="200" customWidth="1"/>
    <col min="2561" max="2800" width="11.5703125" style="200"/>
    <col min="2801" max="2801" width="2.7109375" style="200" customWidth="1"/>
    <col min="2802" max="2802" width="24.42578125" style="200" customWidth="1"/>
    <col min="2803" max="2803" width="7.7109375" style="200" customWidth="1"/>
    <col min="2804" max="2804" width="8.140625" style="200" customWidth="1"/>
    <col min="2805" max="2806" width="7.85546875" style="200" customWidth="1"/>
    <col min="2807" max="2807" width="7.28515625" style="200" customWidth="1"/>
    <col min="2808" max="2808" width="7.140625" style="200" customWidth="1"/>
    <col min="2809" max="2809" width="7.28515625" style="200" customWidth="1"/>
    <col min="2810" max="2810" width="7.7109375" style="200" customWidth="1"/>
    <col min="2811" max="2811" width="8.140625" style="200" customWidth="1"/>
    <col min="2812" max="2812" width="7.28515625" style="200" customWidth="1"/>
    <col min="2813" max="2813" width="9.85546875" style="200" customWidth="1"/>
    <col min="2814" max="2814" width="7.42578125" style="200" customWidth="1"/>
    <col min="2815" max="2815" width="6.140625" style="200" customWidth="1"/>
    <col min="2816" max="2816" width="6.7109375" style="200" customWidth="1"/>
    <col min="2817" max="3056" width="11.5703125" style="200"/>
    <col min="3057" max="3057" width="2.7109375" style="200" customWidth="1"/>
    <col min="3058" max="3058" width="24.42578125" style="200" customWidth="1"/>
    <col min="3059" max="3059" width="7.7109375" style="200" customWidth="1"/>
    <col min="3060" max="3060" width="8.140625" style="200" customWidth="1"/>
    <col min="3061" max="3062" width="7.85546875" style="200" customWidth="1"/>
    <col min="3063" max="3063" width="7.28515625" style="200" customWidth="1"/>
    <col min="3064" max="3064" width="7.140625" style="200" customWidth="1"/>
    <col min="3065" max="3065" width="7.28515625" style="200" customWidth="1"/>
    <col min="3066" max="3066" width="7.7109375" style="200" customWidth="1"/>
    <col min="3067" max="3067" width="8.140625" style="200" customWidth="1"/>
    <col min="3068" max="3068" width="7.28515625" style="200" customWidth="1"/>
    <col min="3069" max="3069" width="9.85546875" style="200" customWidth="1"/>
    <col min="3070" max="3070" width="7.42578125" style="200" customWidth="1"/>
    <col min="3071" max="3071" width="6.140625" style="200" customWidth="1"/>
    <col min="3072" max="3072" width="6.7109375" style="200" customWidth="1"/>
    <col min="3073" max="3312" width="11.5703125" style="200"/>
    <col min="3313" max="3313" width="2.7109375" style="200" customWidth="1"/>
    <col min="3314" max="3314" width="24.42578125" style="200" customWidth="1"/>
    <col min="3315" max="3315" width="7.7109375" style="200" customWidth="1"/>
    <col min="3316" max="3316" width="8.140625" style="200" customWidth="1"/>
    <col min="3317" max="3318" width="7.85546875" style="200" customWidth="1"/>
    <col min="3319" max="3319" width="7.28515625" style="200" customWidth="1"/>
    <col min="3320" max="3320" width="7.140625" style="200" customWidth="1"/>
    <col min="3321" max="3321" width="7.28515625" style="200" customWidth="1"/>
    <col min="3322" max="3322" width="7.7109375" style="200" customWidth="1"/>
    <col min="3323" max="3323" width="8.140625" style="200" customWidth="1"/>
    <col min="3324" max="3324" width="7.28515625" style="200" customWidth="1"/>
    <col min="3325" max="3325" width="9.85546875" style="200" customWidth="1"/>
    <col min="3326" max="3326" width="7.42578125" style="200" customWidth="1"/>
    <col min="3327" max="3327" width="6.140625" style="200" customWidth="1"/>
    <col min="3328" max="3328" width="6.7109375" style="200" customWidth="1"/>
    <col min="3329" max="3568" width="11.5703125" style="200"/>
    <col min="3569" max="3569" width="2.7109375" style="200" customWidth="1"/>
    <col min="3570" max="3570" width="24.42578125" style="200" customWidth="1"/>
    <col min="3571" max="3571" width="7.7109375" style="200" customWidth="1"/>
    <col min="3572" max="3572" width="8.140625" style="200" customWidth="1"/>
    <col min="3573" max="3574" width="7.85546875" style="200" customWidth="1"/>
    <col min="3575" max="3575" width="7.28515625" style="200" customWidth="1"/>
    <col min="3576" max="3576" width="7.140625" style="200" customWidth="1"/>
    <col min="3577" max="3577" width="7.28515625" style="200" customWidth="1"/>
    <col min="3578" max="3578" width="7.7109375" style="200" customWidth="1"/>
    <col min="3579" max="3579" width="8.140625" style="200" customWidth="1"/>
    <col min="3580" max="3580" width="7.28515625" style="200" customWidth="1"/>
    <col min="3581" max="3581" width="9.85546875" style="200" customWidth="1"/>
    <col min="3582" max="3582" width="7.42578125" style="200" customWidth="1"/>
    <col min="3583" max="3583" width="6.140625" style="200" customWidth="1"/>
    <col min="3584" max="3584" width="6.7109375" style="200" customWidth="1"/>
    <col min="3585" max="3824" width="11.5703125" style="200"/>
    <col min="3825" max="3825" width="2.7109375" style="200" customWidth="1"/>
    <col min="3826" max="3826" width="24.42578125" style="200" customWidth="1"/>
    <col min="3827" max="3827" width="7.7109375" style="200" customWidth="1"/>
    <col min="3828" max="3828" width="8.140625" style="200" customWidth="1"/>
    <col min="3829" max="3830" width="7.85546875" style="200" customWidth="1"/>
    <col min="3831" max="3831" width="7.28515625" style="200" customWidth="1"/>
    <col min="3832" max="3832" width="7.140625" style="200" customWidth="1"/>
    <col min="3833" max="3833" width="7.28515625" style="200" customWidth="1"/>
    <col min="3834" max="3834" width="7.7109375" style="200" customWidth="1"/>
    <col min="3835" max="3835" width="8.140625" style="200" customWidth="1"/>
    <col min="3836" max="3836" width="7.28515625" style="200" customWidth="1"/>
    <col min="3837" max="3837" width="9.85546875" style="200" customWidth="1"/>
    <col min="3838" max="3838" width="7.42578125" style="200" customWidth="1"/>
    <col min="3839" max="3839" width="6.140625" style="200" customWidth="1"/>
    <col min="3840" max="3840" width="6.7109375" style="200" customWidth="1"/>
    <col min="3841" max="4080" width="11.5703125" style="200"/>
    <col min="4081" max="4081" width="2.7109375" style="200" customWidth="1"/>
    <col min="4082" max="4082" width="24.42578125" style="200" customWidth="1"/>
    <col min="4083" max="4083" width="7.7109375" style="200" customWidth="1"/>
    <col min="4084" max="4084" width="8.140625" style="200" customWidth="1"/>
    <col min="4085" max="4086" width="7.85546875" style="200" customWidth="1"/>
    <col min="4087" max="4087" width="7.28515625" style="200" customWidth="1"/>
    <col min="4088" max="4088" width="7.140625" style="200" customWidth="1"/>
    <col min="4089" max="4089" width="7.28515625" style="200" customWidth="1"/>
    <col min="4090" max="4090" width="7.7109375" style="200" customWidth="1"/>
    <col min="4091" max="4091" width="8.140625" style="200" customWidth="1"/>
    <col min="4092" max="4092" width="7.28515625" style="200" customWidth="1"/>
    <col min="4093" max="4093" width="9.85546875" style="200" customWidth="1"/>
    <col min="4094" max="4094" width="7.42578125" style="200" customWidth="1"/>
    <col min="4095" max="4095" width="6.140625" style="200" customWidth="1"/>
    <col min="4096" max="4096" width="6.7109375" style="200" customWidth="1"/>
    <col min="4097" max="4336" width="11.5703125" style="200"/>
    <col min="4337" max="4337" width="2.7109375" style="200" customWidth="1"/>
    <col min="4338" max="4338" width="24.42578125" style="200" customWidth="1"/>
    <col min="4339" max="4339" width="7.7109375" style="200" customWidth="1"/>
    <col min="4340" max="4340" width="8.140625" style="200" customWidth="1"/>
    <col min="4341" max="4342" width="7.85546875" style="200" customWidth="1"/>
    <col min="4343" max="4343" width="7.28515625" style="200" customWidth="1"/>
    <col min="4344" max="4344" width="7.140625" style="200" customWidth="1"/>
    <col min="4345" max="4345" width="7.28515625" style="200" customWidth="1"/>
    <col min="4346" max="4346" width="7.7109375" style="200" customWidth="1"/>
    <col min="4347" max="4347" width="8.140625" style="200" customWidth="1"/>
    <col min="4348" max="4348" width="7.28515625" style="200" customWidth="1"/>
    <col min="4349" max="4349" width="9.85546875" style="200" customWidth="1"/>
    <col min="4350" max="4350" width="7.42578125" style="200" customWidth="1"/>
    <col min="4351" max="4351" width="6.140625" style="200" customWidth="1"/>
    <col min="4352" max="4352" width="6.7109375" style="200" customWidth="1"/>
    <col min="4353" max="4592" width="11.5703125" style="200"/>
    <col min="4593" max="4593" width="2.7109375" style="200" customWidth="1"/>
    <col min="4594" max="4594" width="24.42578125" style="200" customWidth="1"/>
    <col min="4595" max="4595" width="7.7109375" style="200" customWidth="1"/>
    <col min="4596" max="4596" width="8.140625" style="200" customWidth="1"/>
    <col min="4597" max="4598" width="7.85546875" style="200" customWidth="1"/>
    <col min="4599" max="4599" width="7.28515625" style="200" customWidth="1"/>
    <col min="4600" max="4600" width="7.140625" style="200" customWidth="1"/>
    <col min="4601" max="4601" width="7.28515625" style="200" customWidth="1"/>
    <col min="4602" max="4602" width="7.7109375" style="200" customWidth="1"/>
    <col min="4603" max="4603" width="8.140625" style="200" customWidth="1"/>
    <col min="4604" max="4604" width="7.28515625" style="200" customWidth="1"/>
    <col min="4605" max="4605" width="9.85546875" style="200" customWidth="1"/>
    <col min="4606" max="4606" width="7.42578125" style="200" customWidth="1"/>
    <col min="4607" max="4607" width="6.140625" style="200" customWidth="1"/>
    <col min="4608" max="4608" width="6.7109375" style="200" customWidth="1"/>
    <col min="4609" max="4848" width="11.5703125" style="200"/>
    <col min="4849" max="4849" width="2.7109375" style="200" customWidth="1"/>
    <col min="4850" max="4850" width="24.42578125" style="200" customWidth="1"/>
    <col min="4851" max="4851" width="7.7109375" style="200" customWidth="1"/>
    <col min="4852" max="4852" width="8.140625" style="200" customWidth="1"/>
    <col min="4853" max="4854" width="7.85546875" style="200" customWidth="1"/>
    <col min="4855" max="4855" width="7.28515625" style="200" customWidth="1"/>
    <col min="4856" max="4856" width="7.140625" style="200" customWidth="1"/>
    <col min="4857" max="4857" width="7.28515625" style="200" customWidth="1"/>
    <col min="4858" max="4858" width="7.7109375" style="200" customWidth="1"/>
    <col min="4859" max="4859" width="8.140625" style="200" customWidth="1"/>
    <col min="4860" max="4860" width="7.28515625" style="200" customWidth="1"/>
    <col min="4861" max="4861" width="9.85546875" style="200" customWidth="1"/>
    <col min="4862" max="4862" width="7.42578125" style="200" customWidth="1"/>
    <col min="4863" max="4863" width="6.140625" style="200" customWidth="1"/>
    <col min="4864" max="4864" width="6.7109375" style="200" customWidth="1"/>
    <col min="4865" max="5104" width="11.5703125" style="200"/>
    <col min="5105" max="5105" width="2.7109375" style="200" customWidth="1"/>
    <col min="5106" max="5106" width="24.42578125" style="200" customWidth="1"/>
    <col min="5107" max="5107" width="7.7109375" style="200" customWidth="1"/>
    <col min="5108" max="5108" width="8.140625" style="200" customWidth="1"/>
    <col min="5109" max="5110" width="7.85546875" style="200" customWidth="1"/>
    <col min="5111" max="5111" width="7.28515625" style="200" customWidth="1"/>
    <col min="5112" max="5112" width="7.140625" style="200" customWidth="1"/>
    <col min="5113" max="5113" width="7.28515625" style="200" customWidth="1"/>
    <col min="5114" max="5114" width="7.7109375" style="200" customWidth="1"/>
    <col min="5115" max="5115" width="8.140625" style="200" customWidth="1"/>
    <col min="5116" max="5116" width="7.28515625" style="200" customWidth="1"/>
    <col min="5117" max="5117" width="9.85546875" style="200" customWidth="1"/>
    <col min="5118" max="5118" width="7.42578125" style="200" customWidth="1"/>
    <col min="5119" max="5119" width="6.140625" style="200" customWidth="1"/>
    <col min="5120" max="5120" width="6.7109375" style="200" customWidth="1"/>
    <col min="5121" max="5360" width="11.5703125" style="200"/>
    <col min="5361" max="5361" width="2.7109375" style="200" customWidth="1"/>
    <col min="5362" max="5362" width="24.42578125" style="200" customWidth="1"/>
    <col min="5363" max="5363" width="7.7109375" style="200" customWidth="1"/>
    <col min="5364" max="5364" width="8.140625" style="200" customWidth="1"/>
    <col min="5365" max="5366" width="7.85546875" style="200" customWidth="1"/>
    <col min="5367" max="5367" width="7.28515625" style="200" customWidth="1"/>
    <col min="5368" max="5368" width="7.140625" style="200" customWidth="1"/>
    <col min="5369" max="5369" width="7.28515625" style="200" customWidth="1"/>
    <col min="5370" max="5370" width="7.7109375" style="200" customWidth="1"/>
    <col min="5371" max="5371" width="8.140625" style="200" customWidth="1"/>
    <col min="5372" max="5372" width="7.28515625" style="200" customWidth="1"/>
    <col min="5373" max="5373" width="9.85546875" style="200" customWidth="1"/>
    <col min="5374" max="5374" width="7.42578125" style="200" customWidth="1"/>
    <col min="5375" max="5375" width="6.140625" style="200" customWidth="1"/>
    <col min="5376" max="5376" width="6.7109375" style="200" customWidth="1"/>
    <col min="5377" max="5616" width="11.5703125" style="200"/>
    <col min="5617" max="5617" width="2.7109375" style="200" customWidth="1"/>
    <col min="5618" max="5618" width="24.42578125" style="200" customWidth="1"/>
    <col min="5619" max="5619" width="7.7109375" style="200" customWidth="1"/>
    <col min="5620" max="5620" width="8.140625" style="200" customWidth="1"/>
    <col min="5621" max="5622" width="7.85546875" style="200" customWidth="1"/>
    <col min="5623" max="5623" width="7.28515625" style="200" customWidth="1"/>
    <col min="5624" max="5624" width="7.140625" style="200" customWidth="1"/>
    <col min="5625" max="5625" width="7.28515625" style="200" customWidth="1"/>
    <col min="5626" max="5626" width="7.7109375" style="200" customWidth="1"/>
    <col min="5627" max="5627" width="8.140625" style="200" customWidth="1"/>
    <col min="5628" max="5628" width="7.28515625" style="200" customWidth="1"/>
    <col min="5629" max="5629" width="9.85546875" style="200" customWidth="1"/>
    <col min="5630" max="5630" width="7.42578125" style="200" customWidth="1"/>
    <col min="5631" max="5631" width="6.140625" style="200" customWidth="1"/>
    <col min="5632" max="5632" width="6.7109375" style="200" customWidth="1"/>
    <col min="5633" max="5872" width="11.5703125" style="200"/>
    <col min="5873" max="5873" width="2.7109375" style="200" customWidth="1"/>
    <col min="5874" max="5874" width="24.42578125" style="200" customWidth="1"/>
    <col min="5875" max="5875" width="7.7109375" style="200" customWidth="1"/>
    <col min="5876" max="5876" width="8.140625" style="200" customWidth="1"/>
    <col min="5877" max="5878" width="7.85546875" style="200" customWidth="1"/>
    <col min="5879" max="5879" width="7.28515625" style="200" customWidth="1"/>
    <col min="5880" max="5880" width="7.140625" style="200" customWidth="1"/>
    <col min="5881" max="5881" width="7.28515625" style="200" customWidth="1"/>
    <col min="5882" max="5882" width="7.7109375" style="200" customWidth="1"/>
    <col min="5883" max="5883" width="8.140625" style="200" customWidth="1"/>
    <col min="5884" max="5884" width="7.28515625" style="200" customWidth="1"/>
    <col min="5885" max="5885" width="9.85546875" style="200" customWidth="1"/>
    <col min="5886" max="5886" width="7.42578125" style="200" customWidth="1"/>
    <col min="5887" max="5887" width="6.140625" style="200" customWidth="1"/>
    <col min="5888" max="5888" width="6.7109375" style="200" customWidth="1"/>
    <col min="5889" max="6128" width="11.5703125" style="200"/>
    <col min="6129" max="6129" width="2.7109375" style="200" customWidth="1"/>
    <col min="6130" max="6130" width="24.42578125" style="200" customWidth="1"/>
    <col min="6131" max="6131" width="7.7109375" style="200" customWidth="1"/>
    <col min="6132" max="6132" width="8.140625" style="200" customWidth="1"/>
    <col min="6133" max="6134" width="7.85546875" style="200" customWidth="1"/>
    <col min="6135" max="6135" width="7.28515625" style="200" customWidth="1"/>
    <col min="6136" max="6136" width="7.140625" style="200" customWidth="1"/>
    <col min="6137" max="6137" width="7.28515625" style="200" customWidth="1"/>
    <col min="6138" max="6138" width="7.7109375" style="200" customWidth="1"/>
    <col min="6139" max="6139" width="8.140625" style="200" customWidth="1"/>
    <col min="6140" max="6140" width="7.28515625" style="200" customWidth="1"/>
    <col min="6141" max="6141" width="9.85546875" style="200" customWidth="1"/>
    <col min="6142" max="6142" width="7.42578125" style="200" customWidth="1"/>
    <col min="6143" max="6143" width="6.140625" style="200" customWidth="1"/>
    <col min="6144" max="6144" width="6.7109375" style="200" customWidth="1"/>
    <col min="6145" max="6384" width="11.5703125" style="200"/>
    <col min="6385" max="6385" width="2.7109375" style="200" customWidth="1"/>
    <col min="6386" max="6386" width="24.42578125" style="200" customWidth="1"/>
    <col min="6387" max="6387" width="7.7109375" style="200" customWidth="1"/>
    <col min="6388" max="6388" width="8.140625" style="200" customWidth="1"/>
    <col min="6389" max="6390" width="7.85546875" style="200" customWidth="1"/>
    <col min="6391" max="6391" width="7.28515625" style="200" customWidth="1"/>
    <col min="6392" max="6392" width="7.140625" style="200" customWidth="1"/>
    <col min="6393" max="6393" width="7.28515625" style="200" customWidth="1"/>
    <col min="6394" max="6394" width="7.7109375" style="200" customWidth="1"/>
    <col min="6395" max="6395" width="8.140625" style="200" customWidth="1"/>
    <col min="6396" max="6396" width="7.28515625" style="200" customWidth="1"/>
    <col min="6397" max="6397" width="9.85546875" style="200" customWidth="1"/>
    <col min="6398" max="6398" width="7.42578125" style="200" customWidth="1"/>
    <col min="6399" max="6399" width="6.140625" style="200" customWidth="1"/>
    <col min="6400" max="6400" width="6.7109375" style="200" customWidth="1"/>
    <col min="6401" max="6640" width="11.5703125" style="200"/>
    <col min="6641" max="6641" width="2.7109375" style="200" customWidth="1"/>
    <col min="6642" max="6642" width="24.42578125" style="200" customWidth="1"/>
    <col min="6643" max="6643" width="7.7109375" style="200" customWidth="1"/>
    <col min="6644" max="6644" width="8.140625" style="200" customWidth="1"/>
    <col min="6645" max="6646" width="7.85546875" style="200" customWidth="1"/>
    <col min="6647" max="6647" width="7.28515625" style="200" customWidth="1"/>
    <col min="6648" max="6648" width="7.140625" style="200" customWidth="1"/>
    <col min="6649" max="6649" width="7.28515625" style="200" customWidth="1"/>
    <col min="6650" max="6650" width="7.7109375" style="200" customWidth="1"/>
    <col min="6651" max="6651" width="8.140625" style="200" customWidth="1"/>
    <col min="6652" max="6652" width="7.28515625" style="200" customWidth="1"/>
    <col min="6653" max="6653" width="9.85546875" style="200" customWidth="1"/>
    <col min="6654" max="6654" width="7.42578125" style="200" customWidth="1"/>
    <col min="6655" max="6655" width="6.140625" style="200" customWidth="1"/>
    <col min="6656" max="6656" width="6.7109375" style="200" customWidth="1"/>
    <col min="6657" max="6896" width="11.5703125" style="200"/>
    <col min="6897" max="6897" width="2.7109375" style="200" customWidth="1"/>
    <col min="6898" max="6898" width="24.42578125" style="200" customWidth="1"/>
    <col min="6899" max="6899" width="7.7109375" style="200" customWidth="1"/>
    <col min="6900" max="6900" width="8.140625" style="200" customWidth="1"/>
    <col min="6901" max="6902" width="7.85546875" style="200" customWidth="1"/>
    <col min="6903" max="6903" width="7.28515625" style="200" customWidth="1"/>
    <col min="6904" max="6904" width="7.140625" style="200" customWidth="1"/>
    <col min="6905" max="6905" width="7.28515625" style="200" customWidth="1"/>
    <col min="6906" max="6906" width="7.7109375" style="200" customWidth="1"/>
    <col min="6907" max="6907" width="8.140625" style="200" customWidth="1"/>
    <col min="6908" max="6908" width="7.28515625" style="200" customWidth="1"/>
    <col min="6909" max="6909" width="9.85546875" style="200" customWidth="1"/>
    <col min="6910" max="6910" width="7.42578125" style="200" customWidth="1"/>
    <col min="6911" max="6911" width="6.140625" style="200" customWidth="1"/>
    <col min="6912" max="6912" width="6.7109375" style="200" customWidth="1"/>
    <col min="6913" max="7152" width="11.5703125" style="200"/>
    <col min="7153" max="7153" width="2.7109375" style="200" customWidth="1"/>
    <col min="7154" max="7154" width="24.42578125" style="200" customWidth="1"/>
    <col min="7155" max="7155" width="7.7109375" style="200" customWidth="1"/>
    <col min="7156" max="7156" width="8.140625" style="200" customWidth="1"/>
    <col min="7157" max="7158" width="7.85546875" style="200" customWidth="1"/>
    <col min="7159" max="7159" width="7.28515625" style="200" customWidth="1"/>
    <col min="7160" max="7160" width="7.140625" style="200" customWidth="1"/>
    <col min="7161" max="7161" width="7.28515625" style="200" customWidth="1"/>
    <col min="7162" max="7162" width="7.7109375" style="200" customWidth="1"/>
    <col min="7163" max="7163" width="8.140625" style="200" customWidth="1"/>
    <col min="7164" max="7164" width="7.28515625" style="200" customWidth="1"/>
    <col min="7165" max="7165" width="9.85546875" style="200" customWidth="1"/>
    <col min="7166" max="7166" width="7.42578125" style="200" customWidth="1"/>
    <col min="7167" max="7167" width="6.140625" style="200" customWidth="1"/>
    <col min="7168" max="7168" width="6.7109375" style="200" customWidth="1"/>
    <col min="7169" max="7408" width="11.5703125" style="200"/>
    <col min="7409" max="7409" width="2.7109375" style="200" customWidth="1"/>
    <col min="7410" max="7410" width="24.42578125" style="200" customWidth="1"/>
    <col min="7411" max="7411" width="7.7109375" style="200" customWidth="1"/>
    <col min="7412" max="7412" width="8.140625" style="200" customWidth="1"/>
    <col min="7413" max="7414" width="7.85546875" style="200" customWidth="1"/>
    <col min="7415" max="7415" width="7.28515625" style="200" customWidth="1"/>
    <col min="7416" max="7416" width="7.140625" style="200" customWidth="1"/>
    <col min="7417" max="7417" width="7.28515625" style="200" customWidth="1"/>
    <col min="7418" max="7418" width="7.7109375" style="200" customWidth="1"/>
    <col min="7419" max="7419" width="8.140625" style="200" customWidth="1"/>
    <col min="7420" max="7420" width="7.28515625" style="200" customWidth="1"/>
    <col min="7421" max="7421" width="9.85546875" style="200" customWidth="1"/>
    <col min="7422" max="7422" width="7.42578125" style="200" customWidth="1"/>
    <col min="7423" max="7423" width="6.140625" style="200" customWidth="1"/>
    <col min="7424" max="7424" width="6.7109375" style="200" customWidth="1"/>
    <col min="7425" max="7664" width="11.5703125" style="200"/>
    <col min="7665" max="7665" width="2.7109375" style="200" customWidth="1"/>
    <col min="7666" max="7666" width="24.42578125" style="200" customWidth="1"/>
    <col min="7667" max="7667" width="7.7109375" style="200" customWidth="1"/>
    <col min="7668" max="7668" width="8.140625" style="200" customWidth="1"/>
    <col min="7669" max="7670" width="7.85546875" style="200" customWidth="1"/>
    <col min="7671" max="7671" width="7.28515625" style="200" customWidth="1"/>
    <col min="7672" max="7672" width="7.140625" style="200" customWidth="1"/>
    <col min="7673" max="7673" width="7.28515625" style="200" customWidth="1"/>
    <col min="7674" max="7674" width="7.7109375" style="200" customWidth="1"/>
    <col min="7675" max="7675" width="8.140625" style="200" customWidth="1"/>
    <col min="7676" max="7676" width="7.28515625" style="200" customWidth="1"/>
    <col min="7677" max="7677" width="9.85546875" style="200" customWidth="1"/>
    <col min="7678" max="7678" width="7.42578125" style="200" customWidth="1"/>
    <col min="7679" max="7679" width="6.140625" style="200" customWidth="1"/>
    <col min="7680" max="7680" width="6.7109375" style="200" customWidth="1"/>
    <col min="7681" max="7920" width="11.5703125" style="200"/>
    <col min="7921" max="7921" width="2.7109375" style="200" customWidth="1"/>
    <col min="7922" max="7922" width="24.42578125" style="200" customWidth="1"/>
    <col min="7923" max="7923" width="7.7109375" style="200" customWidth="1"/>
    <col min="7924" max="7924" width="8.140625" style="200" customWidth="1"/>
    <col min="7925" max="7926" width="7.85546875" style="200" customWidth="1"/>
    <col min="7927" max="7927" width="7.28515625" style="200" customWidth="1"/>
    <col min="7928" max="7928" width="7.140625" style="200" customWidth="1"/>
    <col min="7929" max="7929" width="7.28515625" style="200" customWidth="1"/>
    <col min="7930" max="7930" width="7.7109375" style="200" customWidth="1"/>
    <col min="7931" max="7931" width="8.140625" style="200" customWidth="1"/>
    <col min="7932" max="7932" width="7.28515625" style="200" customWidth="1"/>
    <col min="7933" max="7933" width="9.85546875" style="200" customWidth="1"/>
    <col min="7934" max="7934" width="7.42578125" style="200" customWidth="1"/>
    <col min="7935" max="7935" width="6.140625" style="200" customWidth="1"/>
    <col min="7936" max="7936" width="6.7109375" style="200" customWidth="1"/>
    <col min="7937" max="8176" width="11.5703125" style="200"/>
    <col min="8177" max="8177" width="2.7109375" style="200" customWidth="1"/>
    <col min="8178" max="8178" width="24.42578125" style="200" customWidth="1"/>
    <col min="8179" max="8179" width="7.7109375" style="200" customWidth="1"/>
    <col min="8180" max="8180" width="8.140625" style="200" customWidth="1"/>
    <col min="8181" max="8182" width="7.85546875" style="200" customWidth="1"/>
    <col min="8183" max="8183" width="7.28515625" style="200" customWidth="1"/>
    <col min="8184" max="8184" width="7.140625" style="200" customWidth="1"/>
    <col min="8185" max="8185" width="7.28515625" style="200" customWidth="1"/>
    <col min="8186" max="8186" width="7.7109375" style="200" customWidth="1"/>
    <col min="8187" max="8187" width="8.140625" style="200" customWidth="1"/>
    <col min="8188" max="8188" width="7.28515625" style="200" customWidth="1"/>
    <col min="8189" max="8189" width="9.85546875" style="200" customWidth="1"/>
    <col min="8190" max="8190" width="7.42578125" style="200" customWidth="1"/>
    <col min="8191" max="8191" width="6.140625" style="200" customWidth="1"/>
    <col min="8192" max="8192" width="6.7109375" style="200" customWidth="1"/>
    <col min="8193" max="8432" width="11.5703125" style="200"/>
    <col min="8433" max="8433" width="2.7109375" style="200" customWidth="1"/>
    <col min="8434" max="8434" width="24.42578125" style="200" customWidth="1"/>
    <col min="8435" max="8435" width="7.7109375" style="200" customWidth="1"/>
    <col min="8436" max="8436" width="8.140625" style="200" customWidth="1"/>
    <col min="8437" max="8438" width="7.85546875" style="200" customWidth="1"/>
    <col min="8439" max="8439" width="7.28515625" style="200" customWidth="1"/>
    <col min="8440" max="8440" width="7.140625" style="200" customWidth="1"/>
    <col min="8441" max="8441" width="7.28515625" style="200" customWidth="1"/>
    <col min="8442" max="8442" width="7.7109375" style="200" customWidth="1"/>
    <col min="8443" max="8443" width="8.140625" style="200" customWidth="1"/>
    <col min="8444" max="8444" width="7.28515625" style="200" customWidth="1"/>
    <col min="8445" max="8445" width="9.85546875" style="200" customWidth="1"/>
    <col min="8446" max="8446" width="7.42578125" style="200" customWidth="1"/>
    <col min="8447" max="8447" width="6.140625" style="200" customWidth="1"/>
    <col min="8448" max="8448" width="6.7109375" style="200" customWidth="1"/>
    <col min="8449" max="8688" width="11.5703125" style="200"/>
    <col min="8689" max="8689" width="2.7109375" style="200" customWidth="1"/>
    <col min="8690" max="8690" width="24.42578125" style="200" customWidth="1"/>
    <col min="8691" max="8691" width="7.7109375" style="200" customWidth="1"/>
    <col min="8692" max="8692" width="8.140625" style="200" customWidth="1"/>
    <col min="8693" max="8694" width="7.85546875" style="200" customWidth="1"/>
    <col min="8695" max="8695" width="7.28515625" style="200" customWidth="1"/>
    <col min="8696" max="8696" width="7.140625" style="200" customWidth="1"/>
    <col min="8697" max="8697" width="7.28515625" style="200" customWidth="1"/>
    <col min="8698" max="8698" width="7.7109375" style="200" customWidth="1"/>
    <col min="8699" max="8699" width="8.140625" style="200" customWidth="1"/>
    <col min="8700" max="8700" width="7.28515625" style="200" customWidth="1"/>
    <col min="8701" max="8701" width="9.85546875" style="200" customWidth="1"/>
    <col min="8702" max="8702" width="7.42578125" style="200" customWidth="1"/>
    <col min="8703" max="8703" width="6.140625" style="200" customWidth="1"/>
    <col min="8704" max="8704" width="6.7109375" style="200" customWidth="1"/>
    <col min="8705" max="8944" width="11.5703125" style="200"/>
    <col min="8945" max="8945" width="2.7109375" style="200" customWidth="1"/>
    <col min="8946" max="8946" width="24.42578125" style="200" customWidth="1"/>
    <col min="8947" max="8947" width="7.7109375" style="200" customWidth="1"/>
    <col min="8948" max="8948" width="8.140625" style="200" customWidth="1"/>
    <col min="8949" max="8950" width="7.85546875" style="200" customWidth="1"/>
    <col min="8951" max="8951" width="7.28515625" style="200" customWidth="1"/>
    <col min="8952" max="8952" width="7.140625" style="200" customWidth="1"/>
    <col min="8953" max="8953" width="7.28515625" style="200" customWidth="1"/>
    <col min="8954" max="8954" width="7.7109375" style="200" customWidth="1"/>
    <col min="8955" max="8955" width="8.140625" style="200" customWidth="1"/>
    <col min="8956" max="8956" width="7.28515625" style="200" customWidth="1"/>
    <col min="8957" max="8957" width="9.85546875" style="200" customWidth="1"/>
    <col min="8958" max="8958" width="7.42578125" style="200" customWidth="1"/>
    <col min="8959" max="8959" width="6.140625" style="200" customWidth="1"/>
    <col min="8960" max="8960" width="6.7109375" style="200" customWidth="1"/>
    <col min="8961" max="9200" width="11.5703125" style="200"/>
    <col min="9201" max="9201" width="2.7109375" style="200" customWidth="1"/>
    <col min="9202" max="9202" width="24.42578125" style="200" customWidth="1"/>
    <col min="9203" max="9203" width="7.7109375" style="200" customWidth="1"/>
    <col min="9204" max="9204" width="8.140625" style="200" customWidth="1"/>
    <col min="9205" max="9206" width="7.85546875" style="200" customWidth="1"/>
    <col min="9207" max="9207" width="7.28515625" style="200" customWidth="1"/>
    <col min="9208" max="9208" width="7.140625" style="200" customWidth="1"/>
    <col min="9209" max="9209" width="7.28515625" style="200" customWidth="1"/>
    <col min="9210" max="9210" width="7.7109375" style="200" customWidth="1"/>
    <col min="9211" max="9211" width="8.140625" style="200" customWidth="1"/>
    <col min="9212" max="9212" width="7.28515625" style="200" customWidth="1"/>
    <col min="9213" max="9213" width="9.85546875" style="200" customWidth="1"/>
    <col min="9214" max="9214" width="7.42578125" style="200" customWidth="1"/>
    <col min="9215" max="9215" width="6.140625" style="200" customWidth="1"/>
    <col min="9216" max="9216" width="6.7109375" style="200" customWidth="1"/>
    <col min="9217" max="9456" width="11.5703125" style="200"/>
    <col min="9457" max="9457" width="2.7109375" style="200" customWidth="1"/>
    <col min="9458" max="9458" width="24.42578125" style="200" customWidth="1"/>
    <col min="9459" max="9459" width="7.7109375" style="200" customWidth="1"/>
    <col min="9460" max="9460" width="8.140625" style="200" customWidth="1"/>
    <col min="9461" max="9462" width="7.85546875" style="200" customWidth="1"/>
    <col min="9463" max="9463" width="7.28515625" style="200" customWidth="1"/>
    <col min="9464" max="9464" width="7.140625" style="200" customWidth="1"/>
    <col min="9465" max="9465" width="7.28515625" style="200" customWidth="1"/>
    <col min="9466" max="9466" width="7.7109375" style="200" customWidth="1"/>
    <col min="9467" max="9467" width="8.140625" style="200" customWidth="1"/>
    <col min="9468" max="9468" width="7.28515625" style="200" customWidth="1"/>
    <col min="9469" max="9469" width="9.85546875" style="200" customWidth="1"/>
    <col min="9470" max="9470" width="7.42578125" style="200" customWidth="1"/>
    <col min="9471" max="9471" width="6.140625" style="200" customWidth="1"/>
    <col min="9472" max="9472" width="6.7109375" style="200" customWidth="1"/>
    <col min="9473" max="9712" width="11.5703125" style="200"/>
    <col min="9713" max="9713" width="2.7109375" style="200" customWidth="1"/>
    <col min="9714" max="9714" width="24.42578125" style="200" customWidth="1"/>
    <col min="9715" max="9715" width="7.7109375" style="200" customWidth="1"/>
    <col min="9716" max="9716" width="8.140625" style="200" customWidth="1"/>
    <col min="9717" max="9718" width="7.85546875" style="200" customWidth="1"/>
    <col min="9719" max="9719" width="7.28515625" style="200" customWidth="1"/>
    <col min="9720" max="9720" width="7.140625" style="200" customWidth="1"/>
    <col min="9721" max="9721" width="7.28515625" style="200" customWidth="1"/>
    <col min="9722" max="9722" width="7.7109375" style="200" customWidth="1"/>
    <col min="9723" max="9723" width="8.140625" style="200" customWidth="1"/>
    <col min="9724" max="9724" width="7.28515625" style="200" customWidth="1"/>
    <col min="9725" max="9725" width="9.85546875" style="200" customWidth="1"/>
    <col min="9726" max="9726" width="7.42578125" style="200" customWidth="1"/>
    <col min="9727" max="9727" width="6.140625" style="200" customWidth="1"/>
    <col min="9728" max="9728" width="6.7109375" style="200" customWidth="1"/>
    <col min="9729" max="9968" width="11.5703125" style="200"/>
    <col min="9969" max="9969" width="2.7109375" style="200" customWidth="1"/>
    <col min="9970" max="9970" width="24.42578125" style="200" customWidth="1"/>
    <col min="9971" max="9971" width="7.7109375" style="200" customWidth="1"/>
    <col min="9972" max="9972" width="8.140625" style="200" customWidth="1"/>
    <col min="9973" max="9974" width="7.85546875" style="200" customWidth="1"/>
    <col min="9975" max="9975" width="7.28515625" style="200" customWidth="1"/>
    <col min="9976" max="9976" width="7.140625" style="200" customWidth="1"/>
    <col min="9977" max="9977" width="7.28515625" style="200" customWidth="1"/>
    <col min="9978" max="9978" width="7.7109375" style="200" customWidth="1"/>
    <col min="9979" max="9979" width="8.140625" style="200" customWidth="1"/>
    <col min="9980" max="9980" width="7.28515625" style="200" customWidth="1"/>
    <col min="9981" max="9981" width="9.85546875" style="200" customWidth="1"/>
    <col min="9982" max="9982" width="7.42578125" style="200" customWidth="1"/>
    <col min="9983" max="9983" width="6.140625" style="200" customWidth="1"/>
    <col min="9984" max="9984" width="6.7109375" style="200" customWidth="1"/>
    <col min="9985" max="10224" width="11.5703125" style="200"/>
    <col min="10225" max="10225" width="2.7109375" style="200" customWidth="1"/>
    <col min="10226" max="10226" width="24.42578125" style="200" customWidth="1"/>
    <col min="10227" max="10227" width="7.7109375" style="200" customWidth="1"/>
    <col min="10228" max="10228" width="8.140625" style="200" customWidth="1"/>
    <col min="10229" max="10230" width="7.85546875" style="200" customWidth="1"/>
    <col min="10231" max="10231" width="7.28515625" style="200" customWidth="1"/>
    <col min="10232" max="10232" width="7.140625" style="200" customWidth="1"/>
    <col min="10233" max="10233" width="7.28515625" style="200" customWidth="1"/>
    <col min="10234" max="10234" width="7.7109375" style="200" customWidth="1"/>
    <col min="10235" max="10235" width="8.140625" style="200" customWidth="1"/>
    <col min="10236" max="10236" width="7.28515625" style="200" customWidth="1"/>
    <col min="10237" max="10237" width="9.85546875" style="200" customWidth="1"/>
    <col min="10238" max="10238" width="7.42578125" style="200" customWidth="1"/>
    <col min="10239" max="10239" width="6.140625" style="200" customWidth="1"/>
    <col min="10240" max="10240" width="6.7109375" style="200" customWidth="1"/>
    <col min="10241" max="10480" width="11.5703125" style="200"/>
    <col min="10481" max="10481" width="2.7109375" style="200" customWidth="1"/>
    <col min="10482" max="10482" width="24.42578125" style="200" customWidth="1"/>
    <col min="10483" max="10483" width="7.7109375" style="200" customWidth="1"/>
    <col min="10484" max="10484" width="8.140625" style="200" customWidth="1"/>
    <col min="10485" max="10486" width="7.85546875" style="200" customWidth="1"/>
    <col min="10487" max="10487" width="7.28515625" style="200" customWidth="1"/>
    <col min="10488" max="10488" width="7.140625" style="200" customWidth="1"/>
    <col min="10489" max="10489" width="7.28515625" style="200" customWidth="1"/>
    <col min="10490" max="10490" width="7.7109375" style="200" customWidth="1"/>
    <col min="10491" max="10491" width="8.140625" style="200" customWidth="1"/>
    <col min="10492" max="10492" width="7.28515625" style="200" customWidth="1"/>
    <col min="10493" max="10493" width="9.85546875" style="200" customWidth="1"/>
    <col min="10494" max="10494" width="7.42578125" style="200" customWidth="1"/>
    <col min="10495" max="10495" width="6.140625" style="200" customWidth="1"/>
    <col min="10496" max="10496" width="6.7109375" style="200" customWidth="1"/>
    <col min="10497" max="10736" width="11.5703125" style="200"/>
    <col min="10737" max="10737" width="2.7109375" style="200" customWidth="1"/>
    <col min="10738" max="10738" width="24.42578125" style="200" customWidth="1"/>
    <col min="10739" max="10739" width="7.7109375" style="200" customWidth="1"/>
    <col min="10740" max="10740" width="8.140625" style="200" customWidth="1"/>
    <col min="10741" max="10742" width="7.85546875" style="200" customWidth="1"/>
    <col min="10743" max="10743" width="7.28515625" style="200" customWidth="1"/>
    <col min="10744" max="10744" width="7.140625" style="200" customWidth="1"/>
    <col min="10745" max="10745" width="7.28515625" style="200" customWidth="1"/>
    <col min="10746" max="10746" width="7.7109375" style="200" customWidth="1"/>
    <col min="10747" max="10747" width="8.140625" style="200" customWidth="1"/>
    <col min="10748" max="10748" width="7.28515625" style="200" customWidth="1"/>
    <col min="10749" max="10749" width="9.85546875" style="200" customWidth="1"/>
    <col min="10750" max="10750" width="7.42578125" style="200" customWidth="1"/>
    <col min="10751" max="10751" width="6.140625" style="200" customWidth="1"/>
    <col min="10752" max="10752" width="6.7109375" style="200" customWidth="1"/>
    <col min="10753" max="10992" width="11.5703125" style="200"/>
    <col min="10993" max="10993" width="2.7109375" style="200" customWidth="1"/>
    <col min="10994" max="10994" width="24.42578125" style="200" customWidth="1"/>
    <col min="10995" max="10995" width="7.7109375" style="200" customWidth="1"/>
    <col min="10996" max="10996" width="8.140625" style="200" customWidth="1"/>
    <col min="10997" max="10998" width="7.85546875" style="200" customWidth="1"/>
    <col min="10999" max="10999" width="7.28515625" style="200" customWidth="1"/>
    <col min="11000" max="11000" width="7.140625" style="200" customWidth="1"/>
    <col min="11001" max="11001" width="7.28515625" style="200" customWidth="1"/>
    <col min="11002" max="11002" width="7.7109375" style="200" customWidth="1"/>
    <col min="11003" max="11003" width="8.140625" style="200" customWidth="1"/>
    <col min="11004" max="11004" width="7.28515625" style="200" customWidth="1"/>
    <col min="11005" max="11005" width="9.85546875" style="200" customWidth="1"/>
    <col min="11006" max="11006" width="7.42578125" style="200" customWidth="1"/>
    <col min="11007" max="11007" width="6.140625" style="200" customWidth="1"/>
    <col min="11008" max="11008" width="6.7109375" style="200" customWidth="1"/>
    <col min="11009" max="11248" width="11.5703125" style="200"/>
    <col min="11249" max="11249" width="2.7109375" style="200" customWidth="1"/>
    <col min="11250" max="11250" width="24.42578125" style="200" customWidth="1"/>
    <col min="11251" max="11251" width="7.7109375" style="200" customWidth="1"/>
    <col min="11252" max="11252" width="8.140625" style="200" customWidth="1"/>
    <col min="11253" max="11254" width="7.85546875" style="200" customWidth="1"/>
    <col min="11255" max="11255" width="7.28515625" style="200" customWidth="1"/>
    <col min="11256" max="11256" width="7.140625" style="200" customWidth="1"/>
    <col min="11257" max="11257" width="7.28515625" style="200" customWidth="1"/>
    <col min="11258" max="11258" width="7.7109375" style="200" customWidth="1"/>
    <col min="11259" max="11259" width="8.140625" style="200" customWidth="1"/>
    <col min="11260" max="11260" width="7.28515625" style="200" customWidth="1"/>
    <col min="11261" max="11261" width="9.85546875" style="200" customWidth="1"/>
    <col min="11262" max="11262" width="7.42578125" style="200" customWidth="1"/>
    <col min="11263" max="11263" width="6.140625" style="200" customWidth="1"/>
    <col min="11264" max="11264" width="6.7109375" style="200" customWidth="1"/>
    <col min="11265" max="11504" width="11.5703125" style="200"/>
    <col min="11505" max="11505" width="2.7109375" style="200" customWidth="1"/>
    <col min="11506" max="11506" width="24.42578125" style="200" customWidth="1"/>
    <col min="11507" max="11507" width="7.7109375" style="200" customWidth="1"/>
    <col min="11508" max="11508" width="8.140625" style="200" customWidth="1"/>
    <col min="11509" max="11510" width="7.85546875" style="200" customWidth="1"/>
    <col min="11511" max="11511" width="7.28515625" style="200" customWidth="1"/>
    <col min="11512" max="11512" width="7.140625" style="200" customWidth="1"/>
    <col min="11513" max="11513" width="7.28515625" style="200" customWidth="1"/>
    <col min="11514" max="11514" width="7.7109375" style="200" customWidth="1"/>
    <col min="11515" max="11515" width="8.140625" style="200" customWidth="1"/>
    <col min="11516" max="11516" width="7.28515625" style="200" customWidth="1"/>
    <col min="11517" max="11517" width="9.85546875" style="200" customWidth="1"/>
    <col min="11518" max="11518" width="7.42578125" style="200" customWidth="1"/>
    <col min="11519" max="11519" width="6.140625" style="200" customWidth="1"/>
    <col min="11520" max="11520" width="6.7109375" style="200" customWidth="1"/>
    <col min="11521" max="11760" width="11.5703125" style="200"/>
    <col min="11761" max="11761" width="2.7109375" style="200" customWidth="1"/>
    <col min="11762" max="11762" width="24.42578125" style="200" customWidth="1"/>
    <col min="11763" max="11763" width="7.7109375" style="200" customWidth="1"/>
    <col min="11764" max="11764" width="8.140625" style="200" customWidth="1"/>
    <col min="11765" max="11766" width="7.85546875" style="200" customWidth="1"/>
    <col min="11767" max="11767" width="7.28515625" style="200" customWidth="1"/>
    <col min="11768" max="11768" width="7.140625" style="200" customWidth="1"/>
    <col min="11769" max="11769" width="7.28515625" style="200" customWidth="1"/>
    <col min="11770" max="11770" width="7.7109375" style="200" customWidth="1"/>
    <col min="11771" max="11771" width="8.140625" style="200" customWidth="1"/>
    <col min="11772" max="11772" width="7.28515625" style="200" customWidth="1"/>
    <col min="11773" max="11773" width="9.85546875" style="200" customWidth="1"/>
    <col min="11774" max="11774" width="7.42578125" style="200" customWidth="1"/>
    <col min="11775" max="11775" width="6.140625" style="200" customWidth="1"/>
    <col min="11776" max="11776" width="6.7109375" style="200" customWidth="1"/>
    <col min="11777" max="12016" width="11.5703125" style="200"/>
    <col min="12017" max="12017" width="2.7109375" style="200" customWidth="1"/>
    <col min="12018" max="12018" width="24.42578125" style="200" customWidth="1"/>
    <col min="12019" max="12019" width="7.7109375" style="200" customWidth="1"/>
    <col min="12020" max="12020" width="8.140625" style="200" customWidth="1"/>
    <col min="12021" max="12022" width="7.85546875" style="200" customWidth="1"/>
    <col min="12023" max="12023" width="7.28515625" style="200" customWidth="1"/>
    <col min="12024" max="12024" width="7.140625" style="200" customWidth="1"/>
    <col min="12025" max="12025" width="7.28515625" style="200" customWidth="1"/>
    <col min="12026" max="12026" width="7.7109375" style="200" customWidth="1"/>
    <col min="12027" max="12027" width="8.140625" style="200" customWidth="1"/>
    <col min="12028" max="12028" width="7.28515625" style="200" customWidth="1"/>
    <col min="12029" max="12029" width="9.85546875" style="200" customWidth="1"/>
    <col min="12030" max="12030" width="7.42578125" style="200" customWidth="1"/>
    <col min="12031" max="12031" width="6.140625" style="200" customWidth="1"/>
    <col min="12032" max="12032" width="6.7109375" style="200" customWidth="1"/>
    <col min="12033" max="12272" width="11.5703125" style="200"/>
    <col min="12273" max="12273" width="2.7109375" style="200" customWidth="1"/>
    <col min="12274" max="12274" width="24.42578125" style="200" customWidth="1"/>
    <col min="12275" max="12275" width="7.7109375" style="200" customWidth="1"/>
    <col min="12276" max="12276" width="8.140625" style="200" customWidth="1"/>
    <col min="12277" max="12278" width="7.85546875" style="200" customWidth="1"/>
    <col min="12279" max="12279" width="7.28515625" style="200" customWidth="1"/>
    <col min="12280" max="12280" width="7.140625" style="200" customWidth="1"/>
    <col min="12281" max="12281" width="7.28515625" style="200" customWidth="1"/>
    <col min="12282" max="12282" width="7.7109375" style="200" customWidth="1"/>
    <col min="12283" max="12283" width="8.140625" style="200" customWidth="1"/>
    <col min="12284" max="12284" width="7.28515625" style="200" customWidth="1"/>
    <col min="12285" max="12285" width="9.85546875" style="200" customWidth="1"/>
    <col min="12286" max="12286" width="7.42578125" style="200" customWidth="1"/>
    <col min="12287" max="12287" width="6.140625" style="200" customWidth="1"/>
    <col min="12288" max="12288" width="6.7109375" style="200" customWidth="1"/>
    <col min="12289" max="12528" width="11.5703125" style="200"/>
    <col min="12529" max="12529" width="2.7109375" style="200" customWidth="1"/>
    <col min="12530" max="12530" width="24.42578125" style="200" customWidth="1"/>
    <col min="12531" max="12531" width="7.7109375" style="200" customWidth="1"/>
    <col min="12532" max="12532" width="8.140625" style="200" customWidth="1"/>
    <col min="12533" max="12534" width="7.85546875" style="200" customWidth="1"/>
    <col min="12535" max="12535" width="7.28515625" style="200" customWidth="1"/>
    <col min="12536" max="12536" width="7.140625" style="200" customWidth="1"/>
    <col min="12537" max="12537" width="7.28515625" style="200" customWidth="1"/>
    <col min="12538" max="12538" width="7.7109375" style="200" customWidth="1"/>
    <col min="12539" max="12539" width="8.140625" style="200" customWidth="1"/>
    <col min="12540" max="12540" width="7.28515625" style="200" customWidth="1"/>
    <col min="12541" max="12541" width="9.85546875" style="200" customWidth="1"/>
    <col min="12542" max="12542" width="7.42578125" style="200" customWidth="1"/>
    <col min="12543" max="12543" width="6.140625" style="200" customWidth="1"/>
    <col min="12544" max="12544" width="6.7109375" style="200" customWidth="1"/>
    <col min="12545" max="12784" width="11.5703125" style="200"/>
    <col min="12785" max="12785" width="2.7109375" style="200" customWidth="1"/>
    <col min="12786" max="12786" width="24.42578125" style="200" customWidth="1"/>
    <col min="12787" max="12787" width="7.7109375" style="200" customWidth="1"/>
    <col min="12788" max="12788" width="8.140625" style="200" customWidth="1"/>
    <col min="12789" max="12790" width="7.85546875" style="200" customWidth="1"/>
    <col min="12791" max="12791" width="7.28515625" style="200" customWidth="1"/>
    <col min="12792" max="12792" width="7.140625" style="200" customWidth="1"/>
    <col min="12793" max="12793" width="7.28515625" style="200" customWidth="1"/>
    <col min="12794" max="12794" width="7.7109375" style="200" customWidth="1"/>
    <col min="12795" max="12795" width="8.140625" style="200" customWidth="1"/>
    <col min="12796" max="12796" width="7.28515625" style="200" customWidth="1"/>
    <col min="12797" max="12797" width="9.85546875" style="200" customWidth="1"/>
    <col min="12798" max="12798" width="7.42578125" style="200" customWidth="1"/>
    <col min="12799" max="12799" width="6.140625" style="200" customWidth="1"/>
    <col min="12800" max="12800" width="6.7109375" style="200" customWidth="1"/>
    <col min="12801" max="13040" width="11.5703125" style="200"/>
    <col min="13041" max="13041" width="2.7109375" style="200" customWidth="1"/>
    <col min="13042" max="13042" width="24.42578125" style="200" customWidth="1"/>
    <col min="13043" max="13043" width="7.7109375" style="200" customWidth="1"/>
    <col min="13044" max="13044" width="8.140625" style="200" customWidth="1"/>
    <col min="13045" max="13046" width="7.85546875" style="200" customWidth="1"/>
    <col min="13047" max="13047" width="7.28515625" style="200" customWidth="1"/>
    <col min="13048" max="13048" width="7.140625" style="200" customWidth="1"/>
    <col min="13049" max="13049" width="7.28515625" style="200" customWidth="1"/>
    <col min="13050" max="13050" width="7.7109375" style="200" customWidth="1"/>
    <col min="13051" max="13051" width="8.140625" style="200" customWidth="1"/>
    <col min="13052" max="13052" width="7.28515625" style="200" customWidth="1"/>
    <col min="13053" max="13053" width="9.85546875" style="200" customWidth="1"/>
    <col min="13054" max="13054" width="7.42578125" style="200" customWidth="1"/>
    <col min="13055" max="13055" width="6.140625" style="200" customWidth="1"/>
    <col min="13056" max="13056" width="6.7109375" style="200" customWidth="1"/>
    <col min="13057" max="13296" width="11.5703125" style="200"/>
    <col min="13297" max="13297" width="2.7109375" style="200" customWidth="1"/>
    <col min="13298" max="13298" width="24.42578125" style="200" customWidth="1"/>
    <col min="13299" max="13299" width="7.7109375" style="200" customWidth="1"/>
    <col min="13300" max="13300" width="8.140625" style="200" customWidth="1"/>
    <col min="13301" max="13302" width="7.85546875" style="200" customWidth="1"/>
    <col min="13303" max="13303" width="7.28515625" style="200" customWidth="1"/>
    <col min="13304" max="13304" width="7.140625" style="200" customWidth="1"/>
    <col min="13305" max="13305" width="7.28515625" style="200" customWidth="1"/>
    <col min="13306" max="13306" width="7.7109375" style="200" customWidth="1"/>
    <col min="13307" max="13307" width="8.140625" style="200" customWidth="1"/>
    <col min="13308" max="13308" width="7.28515625" style="200" customWidth="1"/>
    <col min="13309" max="13309" width="9.85546875" style="200" customWidth="1"/>
    <col min="13310" max="13310" width="7.42578125" style="200" customWidth="1"/>
    <col min="13311" max="13311" width="6.140625" style="200" customWidth="1"/>
    <col min="13312" max="13312" width="6.7109375" style="200" customWidth="1"/>
    <col min="13313" max="13552" width="11.5703125" style="200"/>
    <col min="13553" max="13553" width="2.7109375" style="200" customWidth="1"/>
    <col min="13554" max="13554" width="24.42578125" style="200" customWidth="1"/>
    <col min="13555" max="13555" width="7.7109375" style="200" customWidth="1"/>
    <col min="13556" max="13556" width="8.140625" style="200" customWidth="1"/>
    <col min="13557" max="13558" width="7.85546875" style="200" customWidth="1"/>
    <col min="13559" max="13559" width="7.28515625" style="200" customWidth="1"/>
    <col min="13560" max="13560" width="7.140625" style="200" customWidth="1"/>
    <col min="13561" max="13561" width="7.28515625" style="200" customWidth="1"/>
    <col min="13562" max="13562" width="7.7109375" style="200" customWidth="1"/>
    <col min="13563" max="13563" width="8.140625" style="200" customWidth="1"/>
    <col min="13564" max="13564" width="7.28515625" style="200" customWidth="1"/>
    <col min="13565" max="13565" width="9.85546875" style="200" customWidth="1"/>
    <col min="13566" max="13566" width="7.42578125" style="200" customWidth="1"/>
    <col min="13567" max="13567" width="6.140625" style="200" customWidth="1"/>
    <col min="13568" max="13568" width="6.7109375" style="200" customWidth="1"/>
    <col min="13569" max="13808" width="11.5703125" style="200"/>
    <col min="13809" max="13809" width="2.7109375" style="200" customWidth="1"/>
    <col min="13810" max="13810" width="24.42578125" style="200" customWidth="1"/>
    <col min="13811" max="13811" width="7.7109375" style="200" customWidth="1"/>
    <col min="13812" max="13812" width="8.140625" style="200" customWidth="1"/>
    <col min="13813" max="13814" width="7.85546875" style="200" customWidth="1"/>
    <col min="13815" max="13815" width="7.28515625" style="200" customWidth="1"/>
    <col min="13816" max="13816" width="7.140625" style="200" customWidth="1"/>
    <col min="13817" max="13817" width="7.28515625" style="200" customWidth="1"/>
    <col min="13818" max="13818" width="7.7109375" style="200" customWidth="1"/>
    <col min="13819" max="13819" width="8.140625" style="200" customWidth="1"/>
    <col min="13820" max="13820" width="7.28515625" style="200" customWidth="1"/>
    <col min="13821" max="13821" width="9.85546875" style="200" customWidth="1"/>
    <col min="13822" max="13822" width="7.42578125" style="200" customWidth="1"/>
    <col min="13823" max="13823" width="6.140625" style="200" customWidth="1"/>
    <col min="13824" max="13824" width="6.7109375" style="200" customWidth="1"/>
    <col min="13825" max="14064" width="11.5703125" style="200"/>
    <col min="14065" max="14065" width="2.7109375" style="200" customWidth="1"/>
    <col min="14066" max="14066" width="24.42578125" style="200" customWidth="1"/>
    <col min="14067" max="14067" width="7.7109375" style="200" customWidth="1"/>
    <col min="14068" max="14068" width="8.140625" style="200" customWidth="1"/>
    <col min="14069" max="14070" width="7.85546875" style="200" customWidth="1"/>
    <col min="14071" max="14071" width="7.28515625" style="200" customWidth="1"/>
    <col min="14072" max="14072" width="7.140625" style="200" customWidth="1"/>
    <col min="14073" max="14073" width="7.28515625" style="200" customWidth="1"/>
    <col min="14074" max="14074" width="7.7109375" style="200" customWidth="1"/>
    <col min="14075" max="14075" width="8.140625" style="200" customWidth="1"/>
    <col min="14076" max="14076" width="7.28515625" style="200" customWidth="1"/>
    <col min="14077" max="14077" width="9.85546875" style="200" customWidth="1"/>
    <col min="14078" max="14078" width="7.42578125" style="200" customWidth="1"/>
    <col min="14079" max="14079" width="6.140625" style="200" customWidth="1"/>
    <col min="14080" max="14080" width="6.7109375" style="200" customWidth="1"/>
    <col min="14081" max="14320" width="11.5703125" style="200"/>
    <col min="14321" max="14321" width="2.7109375" style="200" customWidth="1"/>
    <col min="14322" max="14322" width="24.42578125" style="200" customWidth="1"/>
    <col min="14323" max="14323" width="7.7109375" style="200" customWidth="1"/>
    <col min="14324" max="14324" width="8.140625" style="200" customWidth="1"/>
    <col min="14325" max="14326" width="7.85546875" style="200" customWidth="1"/>
    <col min="14327" max="14327" width="7.28515625" style="200" customWidth="1"/>
    <col min="14328" max="14328" width="7.140625" style="200" customWidth="1"/>
    <col min="14329" max="14329" width="7.28515625" style="200" customWidth="1"/>
    <col min="14330" max="14330" width="7.7109375" style="200" customWidth="1"/>
    <col min="14331" max="14331" width="8.140625" style="200" customWidth="1"/>
    <col min="14332" max="14332" width="7.28515625" style="200" customWidth="1"/>
    <col min="14333" max="14333" width="9.85546875" style="200" customWidth="1"/>
    <col min="14334" max="14334" width="7.42578125" style="200" customWidth="1"/>
    <col min="14335" max="14335" width="6.140625" style="200" customWidth="1"/>
    <col min="14336" max="14336" width="6.7109375" style="200" customWidth="1"/>
    <col min="14337" max="14576" width="11.5703125" style="200"/>
    <col min="14577" max="14577" width="2.7109375" style="200" customWidth="1"/>
    <col min="14578" max="14578" width="24.42578125" style="200" customWidth="1"/>
    <col min="14579" max="14579" width="7.7109375" style="200" customWidth="1"/>
    <col min="14580" max="14580" width="8.140625" style="200" customWidth="1"/>
    <col min="14581" max="14582" width="7.85546875" style="200" customWidth="1"/>
    <col min="14583" max="14583" width="7.28515625" style="200" customWidth="1"/>
    <col min="14584" max="14584" width="7.140625" style="200" customWidth="1"/>
    <col min="14585" max="14585" width="7.28515625" style="200" customWidth="1"/>
    <col min="14586" max="14586" width="7.7109375" style="200" customWidth="1"/>
    <col min="14587" max="14587" width="8.140625" style="200" customWidth="1"/>
    <col min="14588" max="14588" width="7.28515625" style="200" customWidth="1"/>
    <col min="14589" max="14589" width="9.85546875" style="200" customWidth="1"/>
    <col min="14590" max="14590" width="7.42578125" style="200" customWidth="1"/>
    <col min="14591" max="14591" width="6.140625" style="200" customWidth="1"/>
    <col min="14592" max="14592" width="6.7109375" style="200" customWidth="1"/>
    <col min="14593" max="14832" width="11.5703125" style="200"/>
    <col min="14833" max="14833" width="2.7109375" style="200" customWidth="1"/>
    <col min="14834" max="14834" width="24.42578125" style="200" customWidth="1"/>
    <col min="14835" max="14835" width="7.7109375" style="200" customWidth="1"/>
    <col min="14836" max="14836" width="8.140625" style="200" customWidth="1"/>
    <col min="14837" max="14838" width="7.85546875" style="200" customWidth="1"/>
    <col min="14839" max="14839" width="7.28515625" style="200" customWidth="1"/>
    <col min="14840" max="14840" width="7.140625" style="200" customWidth="1"/>
    <col min="14841" max="14841" width="7.28515625" style="200" customWidth="1"/>
    <col min="14842" max="14842" width="7.7109375" style="200" customWidth="1"/>
    <col min="14843" max="14843" width="8.140625" style="200" customWidth="1"/>
    <col min="14844" max="14844" width="7.28515625" style="200" customWidth="1"/>
    <col min="14845" max="14845" width="9.85546875" style="200" customWidth="1"/>
    <col min="14846" max="14846" width="7.42578125" style="200" customWidth="1"/>
    <col min="14847" max="14847" width="6.140625" style="200" customWidth="1"/>
    <col min="14848" max="14848" width="6.7109375" style="200" customWidth="1"/>
    <col min="14849" max="15088" width="11.5703125" style="200"/>
    <col min="15089" max="15089" width="2.7109375" style="200" customWidth="1"/>
    <col min="15090" max="15090" width="24.42578125" style="200" customWidth="1"/>
    <col min="15091" max="15091" width="7.7109375" style="200" customWidth="1"/>
    <col min="15092" max="15092" width="8.140625" style="200" customWidth="1"/>
    <col min="15093" max="15094" width="7.85546875" style="200" customWidth="1"/>
    <col min="15095" max="15095" width="7.28515625" style="200" customWidth="1"/>
    <col min="15096" max="15096" width="7.140625" style="200" customWidth="1"/>
    <col min="15097" max="15097" width="7.28515625" style="200" customWidth="1"/>
    <col min="15098" max="15098" width="7.7109375" style="200" customWidth="1"/>
    <col min="15099" max="15099" width="8.140625" style="200" customWidth="1"/>
    <col min="15100" max="15100" width="7.28515625" style="200" customWidth="1"/>
    <col min="15101" max="15101" width="9.85546875" style="200" customWidth="1"/>
    <col min="15102" max="15102" width="7.42578125" style="200" customWidth="1"/>
    <col min="15103" max="15103" width="6.140625" style="200" customWidth="1"/>
    <col min="15104" max="15104" width="6.7109375" style="200" customWidth="1"/>
    <col min="15105" max="15344" width="11.5703125" style="200"/>
    <col min="15345" max="15345" width="2.7109375" style="200" customWidth="1"/>
    <col min="15346" max="15346" width="24.42578125" style="200" customWidth="1"/>
    <col min="15347" max="15347" width="7.7109375" style="200" customWidth="1"/>
    <col min="15348" max="15348" width="8.140625" style="200" customWidth="1"/>
    <col min="15349" max="15350" width="7.85546875" style="200" customWidth="1"/>
    <col min="15351" max="15351" width="7.28515625" style="200" customWidth="1"/>
    <col min="15352" max="15352" width="7.140625" style="200" customWidth="1"/>
    <col min="15353" max="15353" width="7.28515625" style="200" customWidth="1"/>
    <col min="15354" max="15354" width="7.7109375" style="200" customWidth="1"/>
    <col min="15355" max="15355" width="8.140625" style="200" customWidth="1"/>
    <col min="15356" max="15356" width="7.28515625" style="200" customWidth="1"/>
    <col min="15357" max="15357" width="9.85546875" style="200" customWidth="1"/>
    <col min="15358" max="15358" width="7.42578125" style="200" customWidth="1"/>
    <col min="15359" max="15359" width="6.140625" style="200" customWidth="1"/>
    <col min="15360" max="15360" width="6.7109375" style="200" customWidth="1"/>
    <col min="15361" max="15600" width="11.5703125" style="200"/>
    <col min="15601" max="15601" width="2.7109375" style="200" customWidth="1"/>
    <col min="15602" max="15602" width="24.42578125" style="200" customWidth="1"/>
    <col min="15603" max="15603" width="7.7109375" style="200" customWidth="1"/>
    <col min="15604" max="15604" width="8.140625" style="200" customWidth="1"/>
    <col min="15605" max="15606" width="7.85546875" style="200" customWidth="1"/>
    <col min="15607" max="15607" width="7.28515625" style="200" customWidth="1"/>
    <col min="15608" max="15608" width="7.140625" style="200" customWidth="1"/>
    <col min="15609" max="15609" width="7.28515625" style="200" customWidth="1"/>
    <col min="15610" max="15610" width="7.7109375" style="200" customWidth="1"/>
    <col min="15611" max="15611" width="8.140625" style="200" customWidth="1"/>
    <col min="15612" max="15612" width="7.28515625" style="200" customWidth="1"/>
    <col min="15613" max="15613" width="9.85546875" style="200" customWidth="1"/>
    <col min="15614" max="15614" width="7.42578125" style="200" customWidth="1"/>
    <col min="15615" max="15615" width="6.140625" style="200" customWidth="1"/>
    <col min="15616" max="15616" width="6.7109375" style="200" customWidth="1"/>
    <col min="15617" max="15856" width="11.5703125" style="200"/>
    <col min="15857" max="15857" width="2.7109375" style="200" customWidth="1"/>
    <col min="15858" max="15858" width="24.42578125" style="200" customWidth="1"/>
    <col min="15859" max="15859" width="7.7109375" style="200" customWidth="1"/>
    <col min="15860" max="15860" width="8.140625" style="200" customWidth="1"/>
    <col min="15861" max="15862" width="7.85546875" style="200" customWidth="1"/>
    <col min="15863" max="15863" width="7.28515625" style="200" customWidth="1"/>
    <col min="15864" max="15864" width="7.140625" style="200" customWidth="1"/>
    <col min="15865" max="15865" width="7.28515625" style="200" customWidth="1"/>
    <col min="15866" max="15866" width="7.7109375" style="200" customWidth="1"/>
    <col min="15867" max="15867" width="8.140625" style="200" customWidth="1"/>
    <col min="15868" max="15868" width="7.28515625" style="200" customWidth="1"/>
    <col min="15869" max="15869" width="9.85546875" style="200" customWidth="1"/>
    <col min="15870" max="15870" width="7.42578125" style="200" customWidth="1"/>
    <col min="15871" max="15871" width="6.140625" style="200" customWidth="1"/>
    <col min="15872" max="15872" width="6.7109375" style="200" customWidth="1"/>
    <col min="15873" max="16112" width="11.5703125" style="200"/>
    <col min="16113" max="16113" width="2.7109375" style="200" customWidth="1"/>
    <col min="16114" max="16114" width="24.42578125" style="200" customWidth="1"/>
    <col min="16115" max="16115" width="7.7109375" style="200" customWidth="1"/>
    <col min="16116" max="16116" width="8.140625" style="200" customWidth="1"/>
    <col min="16117" max="16118" width="7.85546875" style="200" customWidth="1"/>
    <col min="16119" max="16119" width="7.28515625" style="200" customWidth="1"/>
    <col min="16120" max="16120" width="7.140625" style="200" customWidth="1"/>
    <col min="16121" max="16121" width="7.28515625" style="200" customWidth="1"/>
    <col min="16122" max="16122" width="7.7109375" style="200" customWidth="1"/>
    <col min="16123" max="16123" width="8.140625" style="200" customWidth="1"/>
    <col min="16124" max="16124" width="7.28515625" style="200" customWidth="1"/>
    <col min="16125" max="16125" width="9.85546875" style="200" customWidth="1"/>
    <col min="16126" max="16126" width="7.42578125" style="200" customWidth="1"/>
    <col min="16127" max="16127" width="6.140625" style="200" customWidth="1"/>
    <col min="16128" max="16128" width="6.7109375" style="200" customWidth="1"/>
    <col min="16129" max="16384" width="11.5703125" style="200"/>
  </cols>
  <sheetData>
    <row r="1" spans="1:30" s="189" customFormat="1" ht="20.25" x14ac:dyDescent="0.25">
      <c r="A1" s="78" t="s">
        <v>43</v>
      </c>
      <c r="C1" s="190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</row>
    <row r="2" spans="1:30" s="189" customFormat="1" ht="15" customHeight="1" x14ac:dyDescent="0.25">
      <c r="A2" s="93"/>
      <c r="B2" s="192"/>
      <c r="C2" s="190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</row>
    <row r="3" spans="1:30" s="189" customFormat="1" ht="15" customHeight="1" x14ac:dyDescent="0.25">
      <c r="A3" s="93"/>
      <c r="B3" s="102" t="s">
        <v>42</v>
      </c>
      <c r="C3" s="190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</row>
    <row r="4" spans="1:30" s="189" customFormat="1" ht="15" customHeight="1" x14ac:dyDescent="0.25">
      <c r="A4" s="93"/>
      <c r="B4" s="192"/>
      <c r="C4" s="190"/>
      <c r="D4" s="191"/>
      <c r="E4" s="191"/>
      <c r="F4" s="191"/>
      <c r="G4" s="191"/>
      <c r="H4" s="191"/>
      <c r="I4" s="162" t="s">
        <v>502</v>
      </c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</row>
    <row r="5" spans="1:30" s="189" customFormat="1" ht="15" customHeight="1" x14ac:dyDescent="0.25">
      <c r="A5" s="93"/>
      <c r="B5" s="192" t="s">
        <v>2275</v>
      </c>
      <c r="C5" s="190"/>
      <c r="D5" s="191"/>
      <c r="E5" s="191"/>
      <c r="F5" s="191"/>
      <c r="G5" s="191"/>
      <c r="H5" s="191"/>
      <c r="I5" s="163" t="s">
        <v>2277</v>
      </c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</row>
    <row r="6" spans="1:30" s="189" customFormat="1" ht="15" customHeight="1" x14ac:dyDescent="0.25">
      <c r="A6" s="103"/>
      <c r="B6" s="627" t="s">
        <v>515</v>
      </c>
      <c r="C6" s="627" t="s">
        <v>516</v>
      </c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</row>
    <row r="7" spans="1:30" s="189" customFormat="1" ht="15" customHeight="1" x14ac:dyDescent="0.25">
      <c r="A7" s="103"/>
      <c r="B7" s="704" t="s">
        <v>517</v>
      </c>
      <c r="C7" s="711">
        <f>SUM(C9:C10)</f>
        <v>466920326.34000003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</row>
    <row r="8" spans="1:30" s="189" customFormat="1" ht="15" customHeight="1" x14ac:dyDescent="0.25">
      <c r="A8" s="103"/>
      <c r="B8" s="705"/>
      <c r="C8" s="710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</row>
    <row r="9" spans="1:30" s="189" customFormat="1" ht="7.9" customHeight="1" x14ac:dyDescent="0.2">
      <c r="A9" s="106"/>
      <c r="B9" s="706" t="s">
        <v>518</v>
      </c>
      <c r="C9" s="710">
        <f>'[11]EXPORT.MAD-2024'!$G$11</f>
        <v>217810671.54000008</v>
      </c>
      <c r="D9" s="191"/>
      <c r="E9" s="193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</row>
    <row r="10" spans="1:30" s="189" customFormat="1" ht="15" customHeight="1" x14ac:dyDescent="0.2">
      <c r="A10" s="106"/>
      <c r="B10" s="707" t="s">
        <v>2276</v>
      </c>
      <c r="C10" s="710">
        <f>'[11]EXPORT NO MADA-2024'!$G$11</f>
        <v>249109654.79999998</v>
      </c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</row>
    <row r="11" spans="1:30" s="189" customFormat="1" ht="15" customHeight="1" x14ac:dyDescent="0.2">
      <c r="A11" s="106"/>
      <c r="B11" s="708"/>
      <c r="C11" s="710"/>
      <c r="D11" s="191"/>
      <c r="E11" s="193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</row>
    <row r="12" spans="1:30" s="189" customFormat="1" ht="15" customHeight="1" x14ac:dyDescent="0.2">
      <c r="A12" s="106"/>
      <c r="B12" s="704" t="s">
        <v>519</v>
      </c>
      <c r="C12" s="711">
        <f>SUM(C14:C15)</f>
        <v>1195375609.2399998</v>
      </c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</row>
    <row r="13" spans="1:30" s="189" customFormat="1" ht="15" customHeight="1" x14ac:dyDescent="0.2">
      <c r="A13" s="106"/>
      <c r="B13" s="708"/>
      <c r="C13" s="710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</row>
    <row r="14" spans="1:30" s="189" customFormat="1" ht="8.4499999999999993" customHeight="1" x14ac:dyDescent="0.2">
      <c r="A14" s="106"/>
      <c r="B14" s="706" t="s">
        <v>518</v>
      </c>
      <c r="C14" s="710">
        <f>'[11]IMPORT. MAD-2024'!$G$13</f>
        <v>1144289774.0299997</v>
      </c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</row>
    <row r="15" spans="1:30" s="189" customFormat="1" ht="15" customHeight="1" x14ac:dyDescent="0.2">
      <c r="A15" s="106"/>
      <c r="B15" s="709" t="s">
        <v>2276</v>
      </c>
      <c r="C15" s="710">
        <f>'[11]IMPORT- NO MAD-2024'!$H$10</f>
        <v>51085835.210000001</v>
      </c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</row>
    <row r="16" spans="1:30" s="189" customFormat="1" ht="15" customHeight="1" x14ac:dyDescent="0.2">
      <c r="A16" s="106"/>
      <c r="B16" s="705"/>
      <c r="C16" s="710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</row>
    <row r="17" spans="1:30" s="189" customFormat="1" ht="15" customHeight="1" x14ac:dyDescent="0.2">
      <c r="A17" s="106"/>
      <c r="B17" s="704" t="s">
        <v>520</v>
      </c>
      <c r="C17" s="711">
        <f>SUM(C7-C12)</f>
        <v>-728455282.89999974</v>
      </c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s="189" customFormat="1" ht="15" customHeight="1" x14ac:dyDescent="0.2">
      <c r="A18" s="106"/>
      <c r="B18" s="194" t="s">
        <v>521</v>
      </c>
      <c r="C18" s="195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</row>
    <row r="19" spans="1:30" s="189" customFormat="1" ht="15" customHeight="1" x14ac:dyDescent="0.2">
      <c r="A19" s="106"/>
      <c r="B19" s="196"/>
      <c r="C19" s="195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</row>
    <row r="20" spans="1:30" s="189" customFormat="1" ht="15" customHeight="1" x14ac:dyDescent="0.2">
      <c r="A20" s="106"/>
      <c r="B20" s="196"/>
      <c r="C20" s="195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</row>
    <row r="21" spans="1:30" ht="15" customHeight="1" x14ac:dyDescent="0.3">
      <c r="A21" s="106"/>
    </row>
    <row r="22" spans="1:30" ht="15" customHeight="1" x14ac:dyDescent="0.3">
      <c r="A22" s="106"/>
    </row>
    <row r="23" spans="1:30" ht="15" customHeight="1" x14ac:dyDescent="0.3">
      <c r="A23" s="106"/>
    </row>
    <row r="24" spans="1:30" ht="15" customHeight="1" x14ac:dyDescent="0.3">
      <c r="A24" s="106"/>
    </row>
    <row r="25" spans="1:30" ht="15" customHeight="1" x14ac:dyDescent="0.3">
      <c r="A25" s="106"/>
    </row>
    <row r="26" spans="1:30" ht="15" customHeight="1" x14ac:dyDescent="0.3">
      <c r="A26" s="106"/>
    </row>
    <row r="27" spans="1:30" ht="15" customHeight="1" x14ac:dyDescent="0.3">
      <c r="A27" s="106"/>
    </row>
    <row r="28" spans="1:30" ht="15" customHeight="1" x14ac:dyDescent="0.3">
      <c r="A28" s="106"/>
    </row>
    <row r="29" spans="1:30" ht="15" customHeight="1" x14ac:dyDescent="0.3">
      <c r="A29" s="106"/>
    </row>
    <row r="30" spans="1:30" ht="15" customHeight="1" x14ac:dyDescent="0.3">
      <c r="A30" s="106"/>
    </row>
    <row r="31" spans="1:30" ht="15" customHeight="1" x14ac:dyDescent="0.3">
      <c r="A31" s="106"/>
    </row>
    <row r="32" spans="1:30" ht="15" customHeight="1" x14ac:dyDescent="0.3">
      <c r="A32" s="106"/>
    </row>
    <row r="33" spans="1:1" ht="15" customHeight="1" x14ac:dyDescent="0.3">
      <c r="A33" s="106"/>
    </row>
    <row r="34" spans="1:1" ht="15" customHeight="1" x14ac:dyDescent="0.3">
      <c r="A34" s="106"/>
    </row>
    <row r="35" spans="1:1" ht="15" customHeight="1" x14ac:dyDescent="0.3">
      <c r="A35" s="106"/>
    </row>
    <row r="36" spans="1:1" ht="15" customHeight="1" x14ac:dyDescent="0.3">
      <c r="A36" s="117"/>
    </row>
    <row r="37" spans="1:1" ht="15" customHeight="1" x14ac:dyDescent="0.3">
      <c r="A37" s="117"/>
    </row>
    <row r="38" spans="1:1" ht="15" customHeight="1" x14ac:dyDescent="0.3">
      <c r="A38" s="117"/>
    </row>
    <row r="39" spans="1:1" ht="15" customHeight="1" x14ac:dyDescent="0.3">
      <c r="A39" s="117"/>
    </row>
    <row r="40" spans="1:1" ht="15" customHeight="1" x14ac:dyDescent="0.3">
      <c r="A40" s="117"/>
    </row>
    <row r="41" spans="1:1" ht="15" customHeight="1" x14ac:dyDescent="0.3">
      <c r="A41" s="117"/>
    </row>
    <row r="42" spans="1:1" ht="15" customHeight="1" x14ac:dyDescent="0.3">
      <c r="A42" s="117"/>
    </row>
    <row r="43" spans="1:1" ht="15" customHeight="1" x14ac:dyDescent="0.3">
      <c r="A43" s="117"/>
    </row>
    <row r="44" spans="1:1" ht="15" customHeight="1" x14ac:dyDescent="0.3">
      <c r="A44" s="117"/>
    </row>
    <row r="45" spans="1:1" ht="15" customHeight="1" x14ac:dyDescent="0.3">
      <c r="A45" s="117"/>
    </row>
    <row r="46" spans="1:1" ht="15" customHeight="1" x14ac:dyDescent="0.3">
      <c r="A46" s="117"/>
    </row>
    <row r="47" spans="1:1" ht="15" customHeight="1" x14ac:dyDescent="0.3">
      <c r="A47" s="117"/>
    </row>
    <row r="48" spans="1:1" ht="15" customHeight="1" x14ac:dyDescent="0.3">
      <c r="A48" s="117"/>
    </row>
    <row r="49" spans="1:1" ht="15" customHeight="1" x14ac:dyDescent="0.3">
      <c r="A49" s="117"/>
    </row>
    <row r="50" spans="1:1" ht="15" customHeight="1" x14ac:dyDescent="0.3">
      <c r="A50" s="117"/>
    </row>
    <row r="51" spans="1:1" ht="15" customHeight="1" x14ac:dyDescent="0.3">
      <c r="A51" s="117"/>
    </row>
    <row r="52" spans="1:1" ht="15" customHeight="1" x14ac:dyDescent="0.3">
      <c r="A52" s="117"/>
    </row>
    <row r="53" spans="1:1" ht="15" customHeight="1" x14ac:dyDescent="0.3">
      <c r="A53" s="117"/>
    </row>
    <row r="54" spans="1:1" ht="15" customHeight="1" x14ac:dyDescent="0.3">
      <c r="A54" s="117"/>
    </row>
    <row r="55" spans="1:1" ht="15" customHeight="1" x14ac:dyDescent="0.3">
      <c r="A55" s="117"/>
    </row>
    <row r="56" spans="1:1" ht="15" customHeight="1" x14ac:dyDescent="0.3">
      <c r="A56" s="117"/>
    </row>
    <row r="57" spans="1:1" ht="15" customHeight="1" x14ac:dyDescent="0.3">
      <c r="A57" s="117"/>
    </row>
    <row r="58" spans="1:1" ht="15" customHeight="1" x14ac:dyDescent="0.3">
      <c r="A58" s="117"/>
    </row>
    <row r="59" spans="1:1" ht="15" customHeight="1" x14ac:dyDescent="0.3">
      <c r="A59" s="117"/>
    </row>
    <row r="60" spans="1:1" ht="15" customHeight="1" x14ac:dyDescent="0.3">
      <c r="A60" s="117"/>
    </row>
    <row r="61" spans="1:1" ht="15" customHeight="1" x14ac:dyDescent="0.3">
      <c r="A61" s="117"/>
    </row>
    <row r="62" spans="1:1" ht="15" customHeight="1" x14ac:dyDescent="0.3">
      <c r="A62" s="117"/>
    </row>
    <row r="63" spans="1:1" ht="15" customHeight="1" x14ac:dyDescent="0.3">
      <c r="A63" s="117"/>
    </row>
    <row r="64" spans="1:1" ht="15" customHeight="1" x14ac:dyDescent="0.3">
      <c r="A64" s="117"/>
    </row>
    <row r="65" spans="1:1" ht="15" customHeight="1" x14ac:dyDescent="0.3">
      <c r="A65" s="106"/>
    </row>
    <row r="66" spans="1:1" ht="15" customHeight="1" x14ac:dyDescent="0.3">
      <c r="A66" s="106"/>
    </row>
    <row r="67" spans="1:1" ht="15" customHeight="1" x14ac:dyDescent="0.3">
      <c r="A67" s="106"/>
    </row>
    <row r="68" spans="1:1" ht="15" customHeight="1" x14ac:dyDescent="0.3">
      <c r="A68" s="117"/>
    </row>
    <row r="69" spans="1:1" ht="15" customHeight="1" x14ac:dyDescent="0.3">
      <c r="A69" s="117"/>
    </row>
    <row r="70" spans="1:1" ht="15" customHeight="1" x14ac:dyDescent="0.3">
      <c r="A70" s="117"/>
    </row>
    <row r="71" spans="1:1" ht="15" customHeight="1" x14ac:dyDescent="0.3">
      <c r="A71" s="117"/>
    </row>
    <row r="72" spans="1:1" ht="15" customHeight="1" x14ac:dyDescent="0.3">
      <c r="A72" s="117"/>
    </row>
    <row r="73" spans="1:1" ht="15" customHeight="1" x14ac:dyDescent="0.3">
      <c r="A73" s="117"/>
    </row>
    <row r="74" spans="1:1" ht="15" customHeight="1" x14ac:dyDescent="0.3">
      <c r="A74" s="117"/>
    </row>
    <row r="75" spans="1:1" ht="15" customHeight="1" x14ac:dyDescent="0.3">
      <c r="A75" s="117"/>
    </row>
    <row r="76" spans="1:1" ht="15" customHeight="1" x14ac:dyDescent="0.3">
      <c r="A76" s="117"/>
    </row>
    <row r="77" spans="1:1" ht="15" customHeight="1" x14ac:dyDescent="0.3">
      <c r="A77" s="117"/>
    </row>
    <row r="78" spans="1:1" ht="15" customHeight="1" x14ac:dyDescent="0.3">
      <c r="A78" s="117"/>
    </row>
    <row r="79" spans="1:1" ht="15" customHeight="1" x14ac:dyDescent="0.3">
      <c r="A79" s="117"/>
    </row>
    <row r="80" spans="1:1" ht="15" customHeight="1" x14ac:dyDescent="0.3">
      <c r="A80" s="117"/>
    </row>
    <row r="81" spans="1:1" ht="15" customHeight="1" x14ac:dyDescent="0.3">
      <c r="A81" s="117"/>
    </row>
    <row r="82" spans="1:1" ht="15" customHeight="1" x14ac:dyDescent="0.3">
      <c r="A82" s="117"/>
    </row>
    <row r="83" spans="1:1" ht="15" customHeight="1" x14ac:dyDescent="0.3">
      <c r="A83" s="117"/>
    </row>
    <row r="84" spans="1:1" ht="15" customHeight="1" x14ac:dyDescent="0.3">
      <c r="A84" s="117"/>
    </row>
    <row r="85" spans="1:1" ht="15" customHeight="1" x14ac:dyDescent="0.3">
      <c r="A85" s="117"/>
    </row>
    <row r="86" spans="1:1" ht="15" customHeight="1" x14ac:dyDescent="0.3">
      <c r="A86" s="117"/>
    </row>
    <row r="87" spans="1:1" ht="15" customHeight="1" x14ac:dyDescent="0.3">
      <c r="A87" s="117"/>
    </row>
    <row r="88" spans="1:1" ht="15" customHeight="1" x14ac:dyDescent="0.3">
      <c r="A88" s="117"/>
    </row>
    <row r="89" spans="1:1" ht="15" customHeight="1" x14ac:dyDescent="0.3">
      <c r="A89" s="117"/>
    </row>
    <row r="90" spans="1:1" ht="15" customHeight="1" x14ac:dyDescent="0.3">
      <c r="A90" s="117"/>
    </row>
    <row r="91" spans="1:1" ht="15" customHeight="1" x14ac:dyDescent="0.3">
      <c r="A91" s="117"/>
    </row>
    <row r="92" spans="1:1" ht="15" customHeight="1" x14ac:dyDescent="0.3">
      <c r="A92" s="117"/>
    </row>
    <row r="93" spans="1:1" ht="15" customHeight="1" x14ac:dyDescent="0.3">
      <c r="A93" s="117"/>
    </row>
    <row r="94" spans="1:1" ht="15" customHeight="1" x14ac:dyDescent="0.3">
      <c r="A94" s="117"/>
    </row>
    <row r="95" spans="1:1" ht="15" customHeight="1" x14ac:dyDescent="0.3">
      <c r="A95" s="117"/>
    </row>
    <row r="96" spans="1:1" ht="15" customHeight="1" x14ac:dyDescent="0.3">
      <c r="A96" s="117"/>
    </row>
  </sheetData>
  <hyperlinks>
    <hyperlink ref="A1" location="INDICE!A1" display="(Ir al Índice)" xr:uid="{DD655759-6235-4F7F-A271-1F79935BA8F1}"/>
  </hyperlinks>
  <printOptions horizontalCentered="1"/>
  <pageMargins left="0.59055118110236227" right="0.59055118110236227" top="0.78740157480314965" bottom="0.78740157480314965" header="0.39370078740157483" footer="0.39370078740157483"/>
  <pageSetup paperSize="11" scale="68" orientation="landscape" horizontalDpi="1200" verticalDpi="1200" r:id="rId1"/>
  <headerFooter alignWithMargins="0">
    <oddHeader xml:space="preserve">&amp;L&amp;"Arial,Cursiva"&amp;8&amp;UDinámica de Comercio Exterior Forestal 2005-2016 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189E-2AB2-480A-9FD9-DA3500EAAD6A}">
  <sheetPr>
    <tabColor theme="4"/>
  </sheetPr>
  <dimension ref="A1:F40"/>
  <sheetViews>
    <sheetView showGridLines="0" workbookViewId="0"/>
  </sheetViews>
  <sheetFormatPr baseColWidth="10" defaultColWidth="11.42578125" defaultRowHeight="15" x14ac:dyDescent="0.25"/>
  <cols>
    <col min="1" max="1" width="4.28515625" style="103" customWidth="1"/>
    <col min="2" max="2" width="16" style="184" customWidth="1"/>
    <col min="3" max="3" width="56.7109375" style="169" customWidth="1"/>
    <col min="4" max="4" width="15.42578125" style="175" customWidth="1"/>
    <col min="5" max="5" width="11.42578125" style="187"/>
    <col min="6" max="16384" width="11.42578125" style="151"/>
  </cols>
  <sheetData>
    <row r="1" spans="1:4" x14ac:dyDescent="0.25">
      <c r="A1" s="78" t="s">
        <v>43</v>
      </c>
    </row>
    <row r="2" spans="1:4" x14ac:dyDescent="0.25">
      <c r="A2" s="93"/>
    </row>
    <row r="3" spans="1:4" x14ac:dyDescent="0.25">
      <c r="A3" s="93"/>
      <c r="B3" s="102" t="s">
        <v>601</v>
      </c>
    </row>
    <row r="4" spans="1:4" x14ac:dyDescent="0.25">
      <c r="A4" s="93"/>
    </row>
    <row r="5" spans="1:4" x14ac:dyDescent="0.25">
      <c r="B5" s="188" t="s">
        <v>2278</v>
      </c>
      <c r="C5" s="185"/>
      <c r="D5" s="185"/>
    </row>
    <row r="6" spans="1:4" ht="24" x14ac:dyDescent="0.25">
      <c r="B6" s="725" t="s">
        <v>317</v>
      </c>
      <c r="C6" s="726" t="s">
        <v>318</v>
      </c>
      <c r="D6" s="726" t="s">
        <v>319</v>
      </c>
    </row>
    <row r="7" spans="1:4" x14ac:dyDescent="0.25">
      <c r="B7" s="713" t="s">
        <v>602</v>
      </c>
      <c r="C7" s="676"/>
      <c r="D7" s="677">
        <v>2457549.0300000003</v>
      </c>
    </row>
    <row r="8" spans="1:4" x14ac:dyDescent="0.25">
      <c r="B8" s="712">
        <v>105990000</v>
      </c>
      <c r="C8" s="635" t="s">
        <v>322</v>
      </c>
      <c r="D8" s="714">
        <v>1900</v>
      </c>
    </row>
    <row r="9" spans="1:4" x14ac:dyDescent="0.25">
      <c r="B9" s="712">
        <v>106110000</v>
      </c>
      <c r="C9" s="635" t="s">
        <v>603</v>
      </c>
      <c r="D9" s="714">
        <v>52000</v>
      </c>
    </row>
    <row r="10" spans="1:4" x14ac:dyDescent="0.25">
      <c r="B10" s="712">
        <v>106190000</v>
      </c>
      <c r="C10" s="635" t="s">
        <v>322</v>
      </c>
      <c r="D10" s="714">
        <v>283870</v>
      </c>
    </row>
    <row r="11" spans="1:4" x14ac:dyDescent="0.25">
      <c r="A11" s="106"/>
      <c r="B11" s="712">
        <v>106200000</v>
      </c>
      <c r="C11" s="635" t="s">
        <v>604</v>
      </c>
      <c r="D11" s="714">
        <v>2006958.5100000002</v>
      </c>
    </row>
    <row r="12" spans="1:4" x14ac:dyDescent="0.25">
      <c r="A12" s="106"/>
      <c r="B12" s="712">
        <v>106490000</v>
      </c>
      <c r="C12" s="635" t="s">
        <v>322</v>
      </c>
      <c r="D12" s="714">
        <v>38297.5</v>
      </c>
    </row>
    <row r="13" spans="1:4" x14ac:dyDescent="0.25">
      <c r="A13" s="106"/>
      <c r="B13" s="712">
        <v>106900000</v>
      </c>
      <c r="C13" s="635" t="s">
        <v>322</v>
      </c>
      <c r="D13" s="714">
        <v>74523.02</v>
      </c>
    </row>
    <row r="14" spans="1:4" x14ac:dyDescent="0.25">
      <c r="A14" s="106"/>
      <c r="B14" s="715"/>
      <c r="C14" s="716"/>
      <c r="D14" s="717"/>
    </row>
    <row r="15" spans="1:4" x14ac:dyDescent="0.25">
      <c r="A15" s="106"/>
      <c r="B15" s="718" t="s">
        <v>605</v>
      </c>
      <c r="C15" s="719"/>
      <c r="D15" s="720">
        <v>2220908.5</v>
      </c>
    </row>
    <row r="16" spans="1:4" x14ac:dyDescent="0.25">
      <c r="A16" s="106"/>
      <c r="B16" s="712">
        <v>511991000</v>
      </c>
      <c r="C16" s="635" t="s">
        <v>606</v>
      </c>
      <c r="D16" s="714">
        <v>2153958.87</v>
      </c>
    </row>
    <row r="17" spans="1:6" x14ac:dyDescent="0.25">
      <c r="A17" s="106"/>
      <c r="B17" s="712">
        <v>511999090</v>
      </c>
      <c r="C17" s="635" t="s">
        <v>322</v>
      </c>
      <c r="D17" s="714">
        <v>66949.63</v>
      </c>
    </row>
    <row r="18" spans="1:6" x14ac:dyDescent="0.25">
      <c r="A18" s="106"/>
      <c r="B18" s="721"/>
      <c r="C18" s="716"/>
      <c r="D18" s="717"/>
    </row>
    <row r="19" spans="1:6" x14ac:dyDescent="0.25">
      <c r="A19" s="106"/>
      <c r="B19" s="718" t="s">
        <v>607</v>
      </c>
      <c r="C19" s="719"/>
      <c r="D19" s="720">
        <v>703198.89999999991</v>
      </c>
    </row>
    <row r="20" spans="1:6" x14ac:dyDescent="0.25">
      <c r="A20" s="106"/>
      <c r="B20" s="712">
        <v>4106320000</v>
      </c>
      <c r="C20" s="635" t="s">
        <v>608</v>
      </c>
      <c r="D20" s="714">
        <v>703198.89999999991</v>
      </c>
    </row>
    <row r="21" spans="1:6" x14ac:dyDescent="0.25">
      <c r="A21" s="106"/>
      <c r="B21" s="715"/>
      <c r="C21" s="716"/>
      <c r="D21" s="717"/>
    </row>
    <row r="22" spans="1:6" x14ac:dyDescent="0.25">
      <c r="A22" s="106"/>
      <c r="B22" s="718" t="s">
        <v>609</v>
      </c>
      <c r="C22" s="719"/>
      <c r="D22" s="720">
        <v>76461.429999999993</v>
      </c>
    </row>
    <row r="23" spans="1:6" s="187" customFormat="1" x14ac:dyDescent="0.25">
      <c r="A23" s="117"/>
      <c r="B23" s="712">
        <v>5111192000</v>
      </c>
      <c r="C23" s="635" t="s">
        <v>610</v>
      </c>
      <c r="D23" s="714">
        <v>42742.43</v>
      </c>
      <c r="F23" s="151"/>
    </row>
    <row r="24" spans="1:6" s="187" customFormat="1" x14ac:dyDescent="0.25">
      <c r="A24" s="117"/>
      <c r="B24" s="712">
        <v>5111902000</v>
      </c>
      <c r="C24" s="635" t="s">
        <v>610</v>
      </c>
      <c r="D24" s="714">
        <v>28875</v>
      </c>
      <c r="F24" s="151"/>
    </row>
    <row r="25" spans="1:6" s="187" customFormat="1" x14ac:dyDescent="0.25">
      <c r="A25" s="117"/>
      <c r="B25" s="722">
        <v>5112192000</v>
      </c>
      <c r="C25" s="723" t="s">
        <v>610</v>
      </c>
      <c r="D25" s="724">
        <v>4844</v>
      </c>
      <c r="F25" s="151"/>
    </row>
    <row r="26" spans="1:6" s="187" customFormat="1" x14ac:dyDescent="0.25">
      <c r="A26" s="117"/>
      <c r="B26" s="727" t="s">
        <v>2247</v>
      </c>
      <c r="C26" s="727"/>
      <c r="D26" s="728">
        <v>5458117.8599999994</v>
      </c>
      <c r="F26" s="151"/>
    </row>
    <row r="27" spans="1:6" s="187" customFormat="1" x14ac:dyDescent="0.25">
      <c r="A27" s="117"/>
      <c r="B27" s="184"/>
      <c r="C27" s="169"/>
      <c r="D27" s="175"/>
      <c r="F27" s="151"/>
    </row>
    <row r="28" spans="1:6" s="187" customFormat="1" x14ac:dyDescent="0.25">
      <c r="A28" s="117"/>
      <c r="B28" s="184"/>
      <c r="C28" s="169"/>
      <c r="D28" s="175"/>
      <c r="F28" s="151"/>
    </row>
    <row r="29" spans="1:6" s="187" customFormat="1" x14ac:dyDescent="0.25">
      <c r="A29" s="117"/>
      <c r="B29" s="803" t="s">
        <v>2368</v>
      </c>
      <c r="C29" s="169"/>
      <c r="D29" s="175"/>
      <c r="F29" s="151"/>
    </row>
    <row r="30" spans="1:6" s="187" customFormat="1" ht="24" x14ac:dyDescent="0.25">
      <c r="A30" s="117"/>
      <c r="B30" s="798" t="s">
        <v>317</v>
      </c>
      <c r="C30" s="798" t="s">
        <v>318</v>
      </c>
      <c r="D30" s="799" t="s">
        <v>319</v>
      </c>
      <c r="F30" s="151"/>
    </row>
    <row r="31" spans="1:6" s="187" customFormat="1" x14ac:dyDescent="0.25">
      <c r="A31" s="117"/>
      <c r="B31" s="256">
        <v>5111202000</v>
      </c>
      <c r="C31" s="256" t="s">
        <v>610</v>
      </c>
      <c r="D31" s="744">
        <v>925.07</v>
      </c>
      <c r="F31" s="151"/>
    </row>
    <row r="32" spans="1:6" s="187" customFormat="1" x14ac:dyDescent="0.25">
      <c r="A32" s="117"/>
      <c r="B32" s="801" t="s">
        <v>2247</v>
      </c>
      <c r="C32" s="802"/>
      <c r="D32" s="800">
        <v>925.07</v>
      </c>
      <c r="F32" s="151"/>
    </row>
    <row r="33" spans="1:6" x14ac:dyDescent="0.25">
      <c r="A33" s="117"/>
    </row>
    <row r="34" spans="1:6" x14ac:dyDescent="0.25">
      <c r="A34" s="117"/>
    </row>
    <row r="35" spans="1:6" x14ac:dyDescent="0.25">
      <c r="A35" s="117"/>
    </row>
    <row r="36" spans="1:6" x14ac:dyDescent="0.25">
      <c r="A36" s="117"/>
    </row>
    <row r="37" spans="1:6" x14ac:dyDescent="0.25">
      <c r="A37" s="117"/>
      <c r="F37" s="160"/>
    </row>
    <row r="38" spans="1:6" x14ac:dyDescent="0.25">
      <c r="A38" s="117"/>
    </row>
    <row r="39" spans="1:6" x14ac:dyDescent="0.25">
      <c r="A39" s="117"/>
    </row>
    <row r="40" spans="1:6" x14ac:dyDescent="0.25">
      <c r="A40" s="117"/>
    </row>
  </sheetData>
  <mergeCells count="1">
    <mergeCell ref="B32:C32"/>
  </mergeCells>
  <hyperlinks>
    <hyperlink ref="A1" location="INDICE!A1" display="(Ir al Índice)" xr:uid="{04800796-0610-46E6-81C8-9381DD388F14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4"/>
  </sheetPr>
  <dimension ref="A1:F45"/>
  <sheetViews>
    <sheetView showGridLines="0" workbookViewId="0"/>
  </sheetViews>
  <sheetFormatPr baseColWidth="10" defaultColWidth="14.42578125" defaultRowHeight="15" customHeight="1" x14ac:dyDescent="0.25"/>
  <cols>
    <col min="1" max="1" width="4.28515625" customWidth="1"/>
    <col min="2" max="2" width="25.28515625" customWidth="1"/>
    <col min="3" max="3" width="17" customWidth="1"/>
    <col min="4" max="4" width="15" customWidth="1"/>
    <col min="5" max="5" width="15.42578125" customWidth="1"/>
    <col min="6" max="6" width="15.5703125" customWidth="1"/>
    <col min="7" max="25" width="11.42578125" customWidth="1"/>
  </cols>
  <sheetData>
    <row r="1" spans="1:5" x14ac:dyDescent="0.25">
      <c r="A1" s="78" t="s">
        <v>43</v>
      </c>
      <c r="B1" s="18"/>
      <c r="C1" s="18"/>
      <c r="D1" s="18"/>
    </row>
    <row r="2" spans="1:5" x14ac:dyDescent="0.25">
      <c r="A2" s="5"/>
      <c r="B2" s="18"/>
      <c r="C2" s="18"/>
      <c r="D2" s="18"/>
    </row>
    <row r="3" spans="1:5" ht="15.75" x14ac:dyDescent="0.25">
      <c r="A3" s="5"/>
      <c r="B3" s="3" t="s">
        <v>600</v>
      </c>
      <c r="C3" s="18"/>
      <c r="D3" s="18"/>
    </row>
    <row r="4" spans="1:5" x14ac:dyDescent="0.25">
      <c r="A4" s="5"/>
      <c r="B4" s="19" t="s">
        <v>2281</v>
      </c>
      <c r="C4" s="18"/>
      <c r="D4" s="18"/>
    </row>
    <row r="5" spans="1:5" x14ac:dyDescent="0.25">
      <c r="A5" s="5"/>
      <c r="B5" s="4"/>
      <c r="C5" s="18"/>
      <c r="D5" s="18"/>
    </row>
    <row r="6" spans="1:5" x14ac:dyDescent="0.25">
      <c r="A6" s="5"/>
      <c r="B6" s="19" t="s">
        <v>2282</v>
      </c>
      <c r="C6" s="19"/>
    </row>
    <row r="7" spans="1:5" ht="25.5" x14ac:dyDescent="0.25">
      <c r="B7" s="729" t="s">
        <v>551</v>
      </c>
      <c r="C7" s="730" t="s">
        <v>590</v>
      </c>
    </row>
    <row r="8" spans="1:5" x14ac:dyDescent="0.25">
      <c r="B8" s="731" t="s">
        <v>552</v>
      </c>
      <c r="C8" s="732">
        <v>68</v>
      </c>
    </row>
    <row r="9" spans="1:5" x14ac:dyDescent="0.25">
      <c r="B9" s="733" t="s">
        <v>45</v>
      </c>
      <c r="C9" s="734">
        <v>68</v>
      </c>
    </row>
    <row r="10" spans="1:5" x14ac:dyDescent="0.25">
      <c r="A10" s="31"/>
      <c r="B10" s="18" t="s">
        <v>553</v>
      </c>
      <c r="C10" s="18"/>
    </row>
    <row r="11" spans="1:5" x14ac:dyDescent="0.25">
      <c r="A11" s="31"/>
    </row>
    <row r="12" spans="1:5" x14ac:dyDescent="0.25">
      <c r="A12" s="31"/>
    </row>
    <row r="13" spans="1:5" x14ac:dyDescent="0.25">
      <c r="A13" s="5"/>
      <c r="B13" s="19" t="s">
        <v>2283</v>
      </c>
      <c r="C13" s="18"/>
      <c r="D13" s="18"/>
    </row>
    <row r="14" spans="1:5" x14ac:dyDescent="0.25">
      <c r="B14" s="735" t="s">
        <v>522</v>
      </c>
      <c r="C14" s="735" t="s">
        <v>584</v>
      </c>
      <c r="D14" s="735" t="s">
        <v>282</v>
      </c>
      <c r="E14" s="735" t="s">
        <v>2280</v>
      </c>
    </row>
    <row r="15" spans="1:5" x14ac:dyDescent="0.25">
      <c r="B15" s="736" t="s">
        <v>531</v>
      </c>
      <c r="C15" s="737" t="s">
        <v>549</v>
      </c>
      <c r="D15" s="740">
        <v>400</v>
      </c>
      <c r="E15" s="741">
        <v>400000</v>
      </c>
    </row>
    <row r="16" spans="1:5" x14ac:dyDescent="0.25">
      <c r="B16" s="736" t="s">
        <v>2279</v>
      </c>
      <c r="C16" s="737" t="s">
        <v>549</v>
      </c>
      <c r="D16" s="740">
        <v>318081</v>
      </c>
      <c r="E16" s="741">
        <v>215681</v>
      </c>
    </row>
    <row r="17" spans="1:6" x14ac:dyDescent="0.25">
      <c r="B17" s="736" t="s">
        <v>524</v>
      </c>
      <c r="C17" s="737" t="s">
        <v>549</v>
      </c>
      <c r="D17" s="740">
        <v>100</v>
      </c>
      <c r="E17" s="741">
        <v>125798</v>
      </c>
    </row>
    <row r="18" spans="1:6" x14ac:dyDescent="0.25">
      <c r="A18" s="31"/>
      <c r="B18" s="736" t="s">
        <v>525</v>
      </c>
      <c r="C18" s="737" t="s">
        <v>549</v>
      </c>
      <c r="D18" s="740">
        <v>1410</v>
      </c>
      <c r="E18" s="741">
        <v>1904</v>
      </c>
    </row>
    <row r="19" spans="1:6" x14ac:dyDescent="0.25">
      <c r="A19" s="31"/>
      <c r="B19" s="736" t="s">
        <v>554</v>
      </c>
      <c r="C19" s="737" t="s">
        <v>549</v>
      </c>
      <c r="D19" s="740">
        <v>5833320</v>
      </c>
      <c r="E19" s="741">
        <v>4333762</v>
      </c>
    </row>
    <row r="20" spans="1:6" x14ac:dyDescent="0.25">
      <c r="B20" s="738" t="s">
        <v>2247</v>
      </c>
      <c r="C20" s="739"/>
      <c r="D20" s="742">
        <f>SUM(D15:D19)</f>
        <v>6153311</v>
      </c>
      <c r="E20" s="742">
        <f>SUM(E15:E19)</f>
        <v>5077145</v>
      </c>
      <c r="F20" s="18"/>
    </row>
    <row r="21" spans="1:6" x14ac:dyDescent="0.25">
      <c r="B21" s="18" t="s">
        <v>553</v>
      </c>
      <c r="C21" s="18"/>
      <c r="D21" s="18"/>
      <c r="E21" s="18"/>
      <c r="F21" s="18"/>
    </row>
    <row r="22" spans="1:6" x14ac:dyDescent="0.25">
      <c r="B22" s="18"/>
      <c r="C22" s="18"/>
      <c r="D22" s="18"/>
      <c r="E22" s="18"/>
      <c r="F22" s="18"/>
    </row>
    <row r="23" spans="1:6" x14ac:dyDescent="0.25">
      <c r="B23" s="18"/>
      <c r="C23" s="18"/>
      <c r="D23" s="18"/>
      <c r="E23" s="18"/>
      <c r="F23" s="18"/>
    </row>
    <row r="24" spans="1:6" ht="15.75" customHeight="1" x14ac:dyDescent="0.25">
      <c r="B24" s="19" t="s">
        <v>2307</v>
      </c>
      <c r="C24" s="58"/>
      <c r="D24" s="58"/>
      <c r="E24" s="58"/>
      <c r="F24" s="58"/>
    </row>
    <row r="25" spans="1:6" ht="15.75" customHeight="1" x14ac:dyDescent="0.25">
      <c r="B25" s="754" t="s">
        <v>522</v>
      </c>
      <c r="C25" s="754" t="s">
        <v>281</v>
      </c>
      <c r="D25" s="754" t="s">
        <v>277</v>
      </c>
      <c r="E25" s="754" t="s">
        <v>282</v>
      </c>
      <c r="F25" s="754" t="s">
        <v>319</v>
      </c>
    </row>
    <row r="26" spans="1:6" ht="15.75" customHeight="1" x14ac:dyDescent="0.25">
      <c r="B26" s="256" t="s">
        <v>531</v>
      </c>
      <c r="C26" s="256" t="s">
        <v>555</v>
      </c>
      <c r="D26" s="743" t="s">
        <v>549</v>
      </c>
      <c r="E26" s="744" t="s">
        <v>2284</v>
      </c>
      <c r="F26" s="744">
        <v>12800</v>
      </c>
    </row>
    <row r="27" spans="1:6" ht="15.75" customHeight="1" x14ac:dyDescent="0.25">
      <c r="B27" s="273"/>
      <c r="C27" s="256" t="s">
        <v>556</v>
      </c>
      <c r="D27" s="743" t="s">
        <v>584</v>
      </c>
      <c r="E27" s="744" t="s">
        <v>2285</v>
      </c>
      <c r="F27" s="744">
        <v>26462</v>
      </c>
    </row>
    <row r="28" spans="1:6" ht="15.75" customHeight="1" thickBot="1" x14ac:dyDescent="0.3">
      <c r="B28" s="745"/>
      <c r="C28" s="746" t="s">
        <v>558</v>
      </c>
      <c r="D28" s="747" t="s">
        <v>591</v>
      </c>
      <c r="E28" s="748" t="s">
        <v>2286</v>
      </c>
      <c r="F28" s="748">
        <v>4844</v>
      </c>
    </row>
    <row r="29" spans="1:6" ht="15.75" customHeight="1" thickBot="1" x14ac:dyDescent="0.3">
      <c r="B29" s="746" t="s">
        <v>557</v>
      </c>
      <c r="C29" s="746" t="s">
        <v>556</v>
      </c>
      <c r="D29" s="747" t="s">
        <v>584</v>
      </c>
      <c r="E29" s="748" t="s">
        <v>2287</v>
      </c>
      <c r="F29" s="748">
        <v>18350</v>
      </c>
    </row>
    <row r="30" spans="1:6" ht="15.75" customHeight="1" thickBot="1" x14ac:dyDescent="0.3">
      <c r="B30" s="749" t="s">
        <v>524</v>
      </c>
      <c r="C30" s="749" t="s">
        <v>556</v>
      </c>
      <c r="D30" s="750" t="s">
        <v>584</v>
      </c>
      <c r="E30" s="751" t="s">
        <v>2288</v>
      </c>
      <c r="F30" s="751">
        <v>148100</v>
      </c>
    </row>
    <row r="31" spans="1:6" ht="15.75" customHeight="1" thickBot="1" x14ac:dyDescent="0.3">
      <c r="B31" s="746" t="s">
        <v>2289</v>
      </c>
      <c r="C31" s="746" t="s">
        <v>556</v>
      </c>
      <c r="D31" s="747" t="s">
        <v>584</v>
      </c>
      <c r="E31" s="748" t="s">
        <v>2290</v>
      </c>
      <c r="F31" s="748">
        <v>30000</v>
      </c>
    </row>
    <row r="32" spans="1:6" ht="15.75" customHeight="1" thickBot="1" x14ac:dyDescent="0.3">
      <c r="B32" s="746" t="s">
        <v>2291</v>
      </c>
      <c r="C32" s="746" t="s">
        <v>558</v>
      </c>
      <c r="D32" s="747" t="s">
        <v>591</v>
      </c>
      <c r="E32" s="748" t="s">
        <v>2292</v>
      </c>
      <c r="F32" s="748">
        <v>4500</v>
      </c>
    </row>
    <row r="33" spans="2:6" ht="15.75" customHeight="1" thickBot="1" x14ac:dyDescent="0.3">
      <c r="B33" s="746" t="s">
        <v>525</v>
      </c>
      <c r="C33" s="746" t="s">
        <v>556</v>
      </c>
      <c r="D33" s="747" t="s">
        <v>584</v>
      </c>
      <c r="E33" s="748" t="s">
        <v>2293</v>
      </c>
      <c r="F33" s="748">
        <v>29130</v>
      </c>
    </row>
    <row r="34" spans="2:6" ht="15.75" customHeight="1" thickBot="1" x14ac:dyDescent="0.3">
      <c r="B34" s="746" t="s">
        <v>2294</v>
      </c>
      <c r="C34" s="746" t="s">
        <v>556</v>
      </c>
      <c r="D34" s="747" t="s">
        <v>584</v>
      </c>
      <c r="E34" s="748" t="s">
        <v>2295</v>
      </c>
      <c r="F34" s="748">
        <v>15200</v>
      </c>
    </row>
    <row r="35" spans="2:6" ht="15.75" customHeight="1" thickBot="1" x14ac:dyDescent="0.3">
      <c r="B35" s="746" t="s">
        <v>530</v>
      </c>
      <c r="C35" s="746" t="s">
        <v>558</v>
      </c>
      <c r="D35" s="747" t="s">
        <v>591</v>
      </c>
      <c r="E35" s="748" t="s">
        <v>2296</v>
      </c>
      <c r="F35" s="748">
        <v>31542</v>
      </c>
    </row>
    <row r="36" spans="2:6" ht="15.75" customHeight="1" x14ac:dyDescent="0.25">
      <c r="B36" s="282" t="s">
        <v>534</v>
      </c>
      <c r="C36" s="282" t="s">
        <v>556</v>
      </c>
      <c r="D36" s="752" t="s">
        <v>584</v>
      </c>
      <c r="E36" s="753" t="s">
        <v>2297</v>
      </c>
      <c r="F36" s="753">
        <v>21284</v>
      </c>
    </row>
    <row r="37" spans="2:6" ht="15.75" customHeight="1" thickBot="1" x14ac:dyDescent="0.3">
      <c r="B37" s="745"/>
      <c r="C37" s="746" t="s">
        <v>558</v>
      </c>
      <c r="D37" s="747" t="s">
        <v>591</v>
      </c>
      <c r="E37" s="748" t="s">
        <v>2298</v>
      </c>
      <c r="F37" s="748">
        <v>8680</v>
      </c>
    </row>
    <row r="38" spans="2:6" ht="15.75" customHeight="1" thickBot="1" x14ac:dyDescent="0.3">
      <c r="B38" s="746" t="s">
        <v>2299</v>
      </c>
      <c r="C38" s="746" t="s">
        <v>556</v>
      </c>
      <c r="D38" s="747" t="s">
        <v>584</v>
      </c>
      <c r="E38" s="748" t="s">
        <v>2300</v>
      </c>
      <c r="F38" s="748">
        <v>1900</v>
      </c>
    </row>
    <row r="39" spans="2:6" ht="15.75" customHeight="1" thickBot="1" x14ac:dyDescent="0.3">
      <c r="B39" s="746" t="s">
        <v>535</v>
      </c>
      <c r="C39" s="746" t="s">
        <v>556</v>
      </c>
      <c r="D39" s="747" t="s">
        <v>584</v>
      </c>
      <c r="E39" s="748" t="s">
        <v>2301</v>
      </c>
      <c r="F39" s="748">
        <v>3560</v>
      </c>
    </row>
    <row r="40" spans="2:6" ht="15.75" customHeight="1" thickBot="1" x14ac:dyDescent="0.3">
      <c r="B40" s="746" t="s">
        <v>2302</v>
      </c>
      <c r="C40" s="746" t="s">
        <v>555</v>
      </c>
      <c r="D40" s="747" t="s">
        <v>549</v>
      </c>
      <c r="E40" s="748" t="s">
        <v>2303</v>
      </c>
      <c r="F40" s="748">
        <v>250</v>
      </c>
    </row>
    <row r="41" spans="2:6" ht="15.75" customHeight="1" thickBot="1" x14ac:dyDescent="0.3">
      <c r="B41" s="746" t="s">
        <v>592</v>
      </c>
      <c r="C41" s="746" t="s">
        <v>556</v>
      </c>
      <c r="D41" s="747" t="s">
        <v>584</v>
      </c>
      <c r="E41" s="748" t="s">
        <v>2304</v>
      </c>
      <c r="F41" s="748">
        <v>97000</v>
      </c>
    </row>
    <row r="42" spans="2:6" ht="15.75" customHeight="1" thickBot="1" x14ac:dyDescent="0.3">
      <c r="B42" s="749" t="s">
        <v>2305</v>
      </c>
      <c r="C42" s="749" t="s">
        <v>556</v>
      </c>
      <c r="D42" s="750" t="s">
        <v>584</v>
      </c>
      <c r="E42" s="751" t="s">
        <v>2300</v>
      </c>
      <c r="F42" s="751">
        <v>750</v>
      </c>
    </row>
    <row r="43" spans="2:6" ht="15.75" customHeight="1" x14ac:dyDescent="0.25">
      <c r="B43" s="282" t="s">
        <v>537</v>
      </c>
      <c r="C43" s="282" t="s">
        <v>556</v>
      </c>
      <c r="D43" s="752" t="s">
        <v>584</v>
      </c>
      <c r="E43" s="753" t="s">
        <v>2306</v>
      </c>
      <c r="F43" s="753">
        <v>1100</v>
      </c>
    </row>
    <row r="44" spans="2:6" ht="15.75" customHeight="1" x14ac:dyDescent="0.25">
      <c r="B44" s="755" t="s">
        <v>45</v>
      </c>
      <c r="C44" s="756"/>
      <c r="D44" s="756"/>
      <c r="E44" s="757"/>
      <c r="F44" s="758">
        <f>SUM(F26:F43)</f>
        <v>455452</v>
      </c>
    </row>
    <row r="45" spans="2:6" ht="15.75" customHeight="1" x14ac:dyDescent="0.25">
      <c r="B45" s="18" t="s">
        <v>553</v>
      </c>
      <c r="C45" s="18"/>
      <c r="D45" s="18"/>
      <c r="E45" s="18"/>
      <c r="F45" s="18"/>
    </row>
  </sheetData>
  <mergeCells count="2">
    <mergeCell ref="B44:E44"/>
    <mergeCell ref="B20:C20"/>
  </mergeCells>
  <phoneticPr fontId="73" type="noConversion"/>
  <hyperlinks>
    <hyperlink ref="A1" location="INDICE!A1" display="(Ir al Índice)" xr:uid="{30E0DAD6-0B80-41C5-BEA8-D93427046E4F}"/>
  </hyperlinks>
  <pageMargins left="0.7" right="0.7" top="0.75" bottom="0.75" header="0" footer="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/>
  </sheetPr>
  <dimension ref="A1:AM29"/>
  <sheetViews>
    <sheetView showGridLines="0" workbookViewId="0"/>
  </sheetViews>
  <sheetFormatPr baseColWidth="10" defaultColWidth="14.42578125" defaultRowHeight="15" customHeight="1" x14ac:dyDescent="0.25"/>
  <cols>
    <col min="1" max="1" width="4.28515625" customWidth="1"/>
    <col min="2" max="2" width="13.42578125" customWidth="1"/>
    <col min="3" max="3" width="18.5703125" customWidth="1"/>
    <col min="4" max="4" width="34.42578125" customWidth="1"/>
    <col min="5" max="5" width="21" customWidth="1"/>
    <col min="6" max="6" width="16.85546875" customWidth="1"/>
    <col min="7" max="7" width="13.140625" customWidth="1"/>
    <col min="8" max="9" width="11.5703125" customWidth="1"/>
    <col min="10" max="10" width="12.7109375" customWidth="1"/>
    <col min="11" max="11" width="14.140625" customWidth="1"/>
    <col min="12" max="12" width="14.28515625" customWidth="1"/>
    <col min="13" max="13" width="12.7109375" customWidth="1"/>
    <col min="14" max="19" width="11.5703125" customWidth="1"/>
    <col min="20" max="20" width="15.42578125" customWidth="1"/>
    <col min="21" max="40" width="11.5703125" customWidth="1"/>
  </cols>
  <sheetData>
    <row r="1" spans="1:39" x14ac:dyDescent="0.25">
      <c r="A1" s="78" t="s">
        <v>43</v>
      </c>
    </row>
    <row r="2" spans="1:39" x14ac:dyDescent="0.25">
      <c r="A2" s="5"/>
    </row>
    <row r="3" spans="1:39" x14ac:dyDescent="0.25">
      <c r="A3" s="5"/>
      <c r="B3" s="4"/>
    </row>
    <row r="4" spans="1:39" x14ac:dyDescent="0.25">
      <c r="A4" s="5"/>
    </row>
    <row r="5" spans="1:39" x14ac:dyDescent="0.25">
      <c r="A5" s="5"/>
      <c r="B5" s="4" t="s">
        <v>2320</v>
      </c>
    </row>
    <row r="6" spans="1:39" x14ac:dyDescent="0.25">
      <c r="A6" s="5"/>
      <c r="L6" s="1"/>
    </row>
    <row r="7" spans="1:39" x14ac:dyDescent="0.25">
      <c r="A7" s="5"/>
      <c r="B7" s="19" t="s">
        <v>2319</v>
      </c>
      <c r="C7" s="31"/>
      <c r="D7" s="31"/>
      <c r="E7" s="31"/>
      <c r="F7" s="31"/>
      <c r="G7" s="31"/>
      <c r="K7" s="1"/>
    </row>
    <row r="8" spans="1:39" ht="18.75" customHeight="1" x14ac:dyDescent="0.25">
      <c r="B8" s="767" t="s">
        <v>98</v>
      </c>
      <c r="C8" s="767" t="s">
        <v>281</v>
      </c>
      <c r="D8" s="767" t="s">
        <v>522</v>
      </c>
      <c r="E8" s="767" t="s">
        <v>2318</v>
      </c>
      <c r="F8" s="768" t="s">
        <v>319</v>
      </c>
      <c r="G8" s="763"/>
      <c r="K8" s="1"/>
    </row>
    <row r="9" spans="1:39" x14ac:dyDescent="0.25">
      <c r="A9" s="31"/>
      <c r="B9" s="761" t="s">
        <v>2308</v>
      </c>
      <c r="C9" s="759" t="s">
        <v>2309</v>
      </c>
      <c r="D9" s="759" t="s">
        <v>2310</v>
      </c>
      <c r="E9" s="760">
        <v>8.4220000000000006</v>
      </c>
      <c r="F9" s="762">
        <v>29062.880000000001</v>
      </c>
      <c r="G9" s="764"/>
      <c r="L9" s="36"/>
      <c r="M9" s="36"/>
    </row>
    <row r="10" spans="1:39" x14ac:dyDescent="0.25">
      <c r="B10" s="761"/>
      <c r="C10" s="759" t="s">
        <v>2311</v>
      </c>
      <c r="D10" s="759" t="s">
        <v>2310</v>
      </c>
      <c r="E10" s="760">
        <v>20.016999999999999</v>
      </c>
      <c r="F10" s="762">
        <v>20017</v>
      </c>
      <c r="G10" s="764"/>
      <c r="K10" s="1"/>
    </row>
    <row r="11" spans="1:39" x14ac:dyDescent="0.25">
      <c r="B11" s="761" t="s">
        <v>160</v>
      </c>
      <c r="C11" s="759" t="s">
        <v>2311</v>
      </c>
      <c r="D11" s="759" t="s">
        <v>2312</v>
      </c>
      <c r="E11" s="760">
        <v>19.469000000000001</v>
      </c>
      <c r="F11" s="762">
        <v>31150.400000000001</v>
      </c>
      <c r="G11" s="764"/>
      <c r="K11" s="1"/>
      <c r="M11" s="36"/>
    </row>
    <row r="12" spans="1:39" x14ac:dyDescent="0.25">
      <c r="B12" s="761"/>
      <c r="C12" s="759"/>
      <c r="D12" s="759" t="s">
        <v>2310</v>
      </c>
      <c r="E12" s="760">
        <v>69.436000000000007</v>
      </c>
      <c r="F12" s="762">
        <v>85378.505600000004</v>
      </c>
      <c r="G12" s="764"/>
      <c r="L12" s="36"/>
      <c r="M12" s="36"/>
    </row>
    <row r="13" spans="1:39" x14ac:dyDescent="0.25">
      <c r="A13" s="31"/>
      <c r="B13" s="761"/>
      <c r="C13" s="759" t="s">
        <v>2313</v>
      </c>
      <c r="D13" s="759" t="s">
        <v>2310</v>
      </c>
      <c r="E13" s="760">
        <v>114.75999999999999</v>
      </c>
      <c r="F13" s="762">
        <v>93514.206399999995</v>
      </c>
      <c r="G13" s="764"/>
      <c r="L13" s="36"/>
      <c r="M13" s="36"/>
    </row>
    <row r="14" spans="1:39" x14ac:dyDescent="0.25">
      <c r="A14" s="31"/>
      <c r="B14" s="761" t="s">
        <v>161</v>
      </c>
      <c r="C14" s="759" t="s">
        <v>2311</v>
      </c>
      <c r="D14" s="759" t="s">
        <v>2314</v>
      </c>
      <c r="E14" s="760">
        <v>61.275999999999996</v>
      </c>
      <c r="F14" s="762">
        <v>100138.84</v>
      </c>
      <c r="G14" s="764"/>
      <c r="L14" s="36"/>
      <c r="M14" s="36"/>
    </row>
    <row r="15" spans="1:39" x14ac:dyDescent="0.25">
      <c r="A15" s="31"/>
      <c r="B15" s="761"/>
      <c r="C15" s="759"/>
      <c r="D15" s="759" t="s">
        <v>2315</v>
      </c>
      <c r="E15" s="760">
        <v>23.922000000000001</v>
      </c>
      <c r="F15" s="762">
        <v>33490.800000000003</v>
      </c>
      <c r="G15" s="764"/>
      <c r="AL15" s="26"/>
      <c r="AM15" s="26"/>
    </row>
    <row r="16" spans="1:39" x14ac:dyDescent="0.25">
      <c r="A16" s="31"/>
      <c r="B16" s="761"/>
      <c r="C16" s="759"/>
      <c r="D16" s="759" t="s">
        <v>2312</v>
      </c>
      <c r="E16" s="760">
        <v>281.66800000000001</v>
      </c>
      <c r="F16" s="762">
        <v>251913.26</v>
      </c>
      <c r="G16" s="764"/>
      <c r="AL16" s="26" t="s">
        <v>526</v>
      </c>
      <c r="AM16" s="26" t="s">
        <v>319</v>
      </c>
    </row>
    <row r="17" spans="2:39" x14ac:dyDescent="0.25">
      <c r="B17" s="761"/>
      <c r="C17" s="759"/>
      <c r="D17" s="759" t="s">
        <v>2316</v>
      </c>
      <c r="E17" s="760">
        <v>218.172</v>
      </c>
      <c r="F17" s="762">
        <v>458780.9</v>
      </c>
      <c r="G17" s="764"/>
      <c r="AL17" s="26" t="s">
        <v>527</v>
      </c>
      <c r="AM17" s="72">
        <v>68575.429999999993</v>
      </c>
    </row>
    <row r="18" spans="2:39" ht="15.75" customHeight="1" x14ac:dyDescent="0.25">
      <c r="B18" s="761"/>
      <c r="C18" s="759"/>
      <c r="D18" s="759" t="s">
        <v>2317</v>
      </c>
      <c r="E18" s="760">
        <v>40.765999999999998</v>
      </c>
      <c r="F18" s="762">
        <v>61149</v>
      </c>
      <c r="G18" s="764"/>
      <c r="AL18" s="26" t="s">
        <v>45</v>
      </c>
      <c r="AM18" s="72">
        <f>SUM(AM17:AM17)</f>
        <v>68575.429999999993</v>
      </c>
    </row>
    <row r="19" spans="2:39" ht="15.75" customHeight="1" x14ac:dyDescent="0.25">
      <c r="B19" s="765" t="s">
        <v>2247</v>
      </c>
      <c r="C19" s="765"/>
      <c r="D19" s="765"/>
      <c r="E19" s="766">
        <v>857.90800000000002</v>
      </c>
      <c r="F19" s="766">
        <v>1164595.7919999999</v>
      </c>
      <c r="G19" s="764"/>
      <c r="AL19" s="26"/>
      <c r="AM19" s="26"/>
    </row>
    <row r="20" spans="2:39" ht="15.75" customHeight="1" x14ac:dyDescent="0.25">
      <c r="B20" s="18" t="s">
        <v>528</v>
      </c>
      <c r="AL20" s="26"/>
      <c r="AM20" s="26"/>
    </row>
    <row r="21" spans="2:39" ht="15.75" customHeight="1" x14ac:dyDescent="0.25"/>
    <row r="22" spans="2:39" ht="15.75" customHeight="1" x14ac:dyDescent="0.25"/>
    <row r="23" spans="2:39" ht="15.75" customHeight="1" x14ac:dyDescent="0.25">
      <c r="B23" s="15" t="s">
        <v>514</v>
      </c>
    </row>
    <row r="24" spans="2:39" ht="15.75" customHeight="1" x14ac:dyDescent="0.25">
      <c r="B24" s="22" t="s">
        <v>2321</v>
      </c>
      <c r="J24" s="229" t="s">
        <v>526</v>
      </c>
      <c r="K24" s="229" t="s">
        <v>319</v>
      </c>
    </row>
    <row r="25" spans="2:39" ht="15" customHeight="1" x14ac:dyDescent="0.25">
      <c r="J25" s="229" t="s">
        <v>523</v>
      </c>
      <c r="K25" s="230">
        <v>1727870.804</v>
      </c>
    </row>
    <row r="26" spans="2:39" ht="15" customHeight="1" x14ac:dyDescent="0.25">
      <c r="J26" s="229" t="s">
        <v>525</v>
      </c>
      <c r="K26" s="230">
        <v>221674.66999999998</v>
      </c>
    </row>
    <row r="27" spans="2:39" ht="15" customHeight="1" x14ac:dyDescent="0.25">
      <c r="J27" s="229" t="s">
        <v>524</v>
      </c>
      <c r="K27" s="230">
        <v>109777.60000000001</v>
      </c>
    </row>
    <row r="28" spans="2:39" ht="15" customHeight="1" x14ac:dyDescent="0.25">
      <c r="J28" s="229" t="s">
        <v>582</v>
      </c>
      <c r="K28" s="230">
        <v>146447.9</v>
      </c>
    </row>
    <row r="29" spans="2:39" ht="15" customHeight="1" x14ac:dyDescent="0.25">
      <c r="J29" s="229" t="s">
        <v>581</v>
      </c>
      <c r="K29" s="230">
        <v>60993</v>
      </c>
    </row>
  </sheetData>
  <hyperlinks>
    <hyperlink ref="A1" location="INDICE!A1" display="(Ir al Índice)" xr:uid="{05EB3D1E-5D14-4DC6-8838-F7F3043823A0}"/>
  </hyperlinks>
  <pageMargins left="0.7" right="0.7" top="0.75" bottom="0.75" header="0" footer="0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4"/>
  </sheetPr>
  <dimension ref="A1:AC81"/>
  <sheetViews>
    <sheetView showGridLines="0" tabSelected="1" zoomScale="90" zoomScaleNormal="90" workbookViewId="0"/>
  </sheetViews>
  <sheetFormatPr baseColWidth="10" defaultColWidth="14.42578125" defaultRowHeight="15" customHeight="1" x14ac:dyDescent="0.25"/>
  <cols>
    <col min="1" max="1" width="4.28515625" customWidth="1"/>
    <col min="2" max="2" width="25.140625" customWidth="1"/>
    <col min="3" max="3" width="23" customWidth="1"/>
    <col min="4" max="4" width="14.85546875" bestFit="1" customWidth="1"/>
    <col min="5" max="5" width="12" customWidth="1"/>
    <col min="6" max="7" width="12.7109375" customWidth="1"/>
    <col min="8" max="10" width="11.5703125" customWidth="1"/>
    <col min="11" max="11" width="15.42578125" customWidth="1"/>
    <col min="12" max="27" width="11.5703125" customWidth="1"/>
    <col min="28" max="28" width="21.85546875" customWidth="1"/>
    <col min="29" max="31" width="11.5703125" customWidth="1"/>
  </cols>
  <sheetData>
    <row r="1" spans="1:29" x14ac:dyDescent="0.25">
      <c r="A1" s="78" t="s">
        <v>43</v>
      </c>
      <c r="B1" s="31"/>
      <c r="C1" s="31"/>
      <c r="D1" s="31"/>
      <c r="E1" s="31"/>
      <c r="F1" s="31"/>
      <c r="G1" s="31"/>
    </row>
    <row r="2" spans="1:29" x14ac:dyDescent="0.25">
      <c r="A2" s="5"/>
      <c r="B2" s="31"/>
      <c r="C2" s="31"/>
      <c r="D2" s="31"/>
      <c r="E2" s="31"/>
      <c r="F2" s="31"/>
      <c r="G2" s="31"/>
    </row>
    <row r="3" spans="1:29" x14ac:dyDescent="0.25">
      <c r="A3" s="5"/>
      <c r="B3" s="4" t="s">
        <v>2328</v>
      </c>
      <c r="C3" s="31"/>
      <c r="D3" s="31"/>
      <c r="E3" s="31"/>
      <c r="F3" s="31"/>
      <c r="G3" s="31"/>
    </row>
    <row r="4" spans="1:29" x14ac:dyDescent="0.25">
      <c r="A4" s="5"/>
      <c r="B4" s="31"/>
      <c r="C4" s="31"/>
      <c r="D4" s="31"/>
      <c r="E4" s="31"/>
      <c r="F4" s="31"/>
      <c r="G4" s="31"/>
      <c r="J4" s="15" t="s">
        <v>529</v>
      </c>
    </row>
    <row r="5" spans="1:29" x14ac:dyDescent="0.25">
      <c r="A5" s="5"/>
      <c r="B5" s="19" t="s">
        <v>2322</v>
      </c>
      <c r="C5" s="31"/>
      <c r="D5" s="31"/>
      <c r="E5" s="31"/>
      <c r="F5" s="31"/>
      <c r="G5" s="31"/>
      <c r="J5" s="22" t="s">
        <v>2329</v>
      </c>
    </row>
    <row r="6" spans="1:29" x14ac:dyDescent="0.25">
      <c r="B6" s="754" t="s">
        <v>281</v>
      </c>
      <c r="C6" s="754" t="s">
        <v>522</v>
      </c>
      <c r="D6" s="754" t="s">
        <v>538</v>
      </c>
      <c r="E6" s="754" t="s">
        <v>319</v>
      </c>
    </row>
    <row r="7" spans="1:29" x14ac:dyDescent="0.25">
      <c r="B7" s="772" t="s">
        <v>585</v>
      </c>
      <c r="C7" s="770" t="s">
        <v>2323</v>
      </c>
      <c r="D7" s="773">
        <v>11566</v>
      </c>
      <c r="E7" s="771">
        <v>41276.239999999983</v>
      </c>
      <c r="U7" s="229" t="s">
        <v>522</v>
      </c>
      <c r="V7" s="229" t="s">
        <v>588</v>
      </c>
      <c r="AB7" s="26" t="s">
        <v>531</v>
      </c>
      <c r="AC7" s="73">
        <v>8020</v>
      </c>
    </row>
    <row r="8" spans="1:29" x14ac:dyDescent="0.25">
      <c r="A8" s="31"/>
      <c r="B8" s="772"/>
      <c r="C8" s="770" t="s">
        <v>2314</v>
      </c>
      <c r="D8" s="773">
        <v>861</v>
      </c>
      <c r="E8" s="771">
        <v>8610</v>
      </c>
      <c r="U8" s="229" t="s">
        <v>525</v>
      </c>
      <c r="V8" s="231">
        <f>+D8</f>
        <v>861</v>
      </c>
      <c r="AB8" s="26" t="s">
        <v>532</v>
      </c>
      <c r="AC8" s="73">
        <v>1640</v>
      </c>
    </row>
    <row r="9" spans="1:29" x14ac:dyDescent="0.25">
      <c r="A9" s="31"/>
      <c r="B9" s="772"/>
      <c r="C9" s="770" t="s">
        <v>2316</v>
      </c>
      <c r="D9" s="773">
        <v>13162</v>
      </c>
      <c r="E9" s="771">
        <v>73304.092000000004</v>
      </c>
      <c r="U9" s="229" t="s">
        <v>532</v>
      </c>
      <c r="V9" s="231">
        <f>+D9</f>
        <v>13162</v>
      </c>
      <c r="AB9" s="26" t="s">
        <v>533</v>
      </c>
      <c r="AC9" s="73">
        <v>1220</v>
      </c>
    </row>
    <row r="10" spans="1:29" x14ac:dyDescent="0.25">
      <c r="A10" s="31"/>
      <c r="B10" s="772"/>
      <c r="C10" s="770" t="s">
        <v>2324</v>
      </c>
      <c r="D10" s="773">
        <v>2200</v>
      </c>
      <c r="E10" s="771">
        <v>5500</v>
      </c>
      <c r="U10" s="229" t="s">
        <v>531</v>
      </c>
      <c r="V10" s="231">
        <f>+D7</f>
        <v>11566</v>
      </c>
      <c r="AB10" s="26" t="s">
        <v>535</v>
      </c>
      <c r="AC10" s="73">
        <v>350</v>
      </c>
    </row>
    <row r="11" spans="1:29" x14ac:dyDescent="0.25">
      <c r="A11" s="31"/>
      <c r="B11" s="772"/>
      <c r="C11" s="770" t="s">
        <v>2325</v>
      </c>
      <c r="D11" s="773">
        <v>2004</v>
      </c>
      <c r="E11" s="771">
        <v>5048</v>
      </c>
      <c r="U11" s="229" t="s">
        <v>534</v>
      </c>
      <c r="V11" s="231">
        <f>+D10</f>
        <v>2200</v>
      </c>
      <c r="AB11" s="26" t="s">
        <v>536</v>
      </c>
      <c r="AC11" s="73">
        <v>178</v>
      </c>
    </row>
    <row r="12" spans="1:29" x14ac:dyDescent="0.25">
      <c r="A12" s="31"/>
      <c r="B12" s="772"/>
      <c r="C12" s="770" t="s">
        <v>2326</v>
      </c>
      <c r="D12" s="773">
        <v>950</v>
      </c>
      <c r="E12" s="771">
        <v>2850</v>
      </c>
      <c r="U12" s="229" t="s">
        <v>586</v>
      </c>
      <c r="V12" s="231">
        <f>+D11</f>
        <v>2004</v>
      </c>
      <c r="AB12" s="26" t="s">
        <v>530</v>
      </c>
      <c r="AC12" s="73">
        <v>122</v>
      </c>
    </row>
    <row r="13" spans="1:29" x14ac:dyDescent="0.25">
      <c r="B13" s="772"/>
      <c r="C13" s="770" t="s">
        <v>2327</v>
      </c>
      <c r="D13" s="773">
        <v>553</v>
      </c>
      <c r="E13" s="771">
        <v>2501.5</v>
      </c>
      <c r="U13" s="229" t="s">
        <v>536</v>
      </c>
      <c r="V13" s="231">
        <f>+D12</f>
        <v>950</v>
      </c>
      <c r="AB13" s="26" t="s">
        <v>537</v>
      </c>
      <c r="AC13" s="73">
        <v>105</v>
      </c>
    </row>
    <row r="14" spans="1:29" x14ac:dyDescent="0.25">
      <c r="B14" s="769" t="s">
        <v>2247</v>
      </c>
      <c r="C14" s="774"/>
      <c r="D14" s="775">
        <v>31296</v>
      </c>
      <c r="E14" s="776">
        <v>139089.83199999999</v>
      </c>
      <c r="U14" s="229" t="s">
        <v>587</v>
      </c>
      <c r="V14" s="231">
        <f>+D13</f>
        <v>553</v>
      </c>
    </row>
    <row r="15" spans="1:29" x14ac:dyDescent="0.25">
      <c r="B15" s="18" t="s">
        <v>528</v>
      </c>
      <c r="C15" s="31"/>
      <c r="D15" s="31"/>
      <c r="E15" s="31"/>
      <c r="F15" s="31"/>
      <c r="G15" s="31"/>
    </row>
    <row r="16" spans="1:29" ht="15.75" customHeight="1" x14ac:dyDescent="0.25">
      <c r="B16" s="31"/>
      <c r="C16" s="31"/>
      <c r="D16" s="31"/>
      <c r="E16" s="31"/>
      <c r="F16" s="31"/>
      <c r="G16" s="31"/>
    </row>
    <row r="17" spans="2:7" ht="15.75" customHeight="1" x14ac:dyDescent="0.25">
      <c r="B17" s="31"/>
      <c r="C17" s="31"/>
      <c r="D17" s="31"/>
      <c r="E17" s="31"/>
      <c r="F17" s="31"/>
      <c r="G17" s="31"/>
    </row>
    <row r="18" spans="2:7" ht="15.75" customHeight="1" x14ac:dyDescent="0.25">
      <c r="B18" s="31"/>
      <c r="C18" s="31"/>
      <c r="D18" s="31"/>
      <c r="E18" s="31"/>
      <c r="F18" s="31"/>
      <c r="G18" s="31"/>
    </row>
    <row r="19" spans="2:7" ht="15.75" customHeight="1" x14ac:dyDescent="0.25">
      <c r="B19" s="19" t="s">
        <v>2350</v>
      </c>
      <c r="C19" s="18"/>
      <c r="D19" s="31"/>
      <c r="E19" s="31"/>
      <c r="F19" s="31"/>
      <c r="G19" s="74"/>
    </row>
    <row r="20" spans="2:7" ht="15.75" customHeight="1" x14ac:dyDescent="0.25">
      <c r="B20" s="777" t="s">
        <v>98</v>
      </c>
      <c r="C20" s="777" t="s">
        <v>538</v>
      </c>
      <c r="D20" s="31"/>
      <c r="E20" s="31"/>
      <c r="F20" s="31"/>
      <c r="G20" s="31"/>
    </row>
    <row r="21" spans="2:7" ht="15.75" customHeight="1" x14ac:dyDescent="0.25">
      <c r="B21" s="778" t="s">
        <v>2330</v>
      </c>
      <c r="C21" s="780">
        <v>1528</v>
      </c>
      <c r="D21" s="31"/>
      <c r="E21" s="31"/>
      <c r="F21" s="31"/>
      <c r="G21" s="31"/>
    </row>
    <row r="22" spans="2:7" ht="15.75" customHeight="1" x14ac:dyDescent="0.25">
      <c r="B22" s="778" t="s">
        <v>541</v>
      </c>
      <c r="C22" s="780">
        <v>960</v>
      </c>
      <c r="D22" s="31"/>
      <c r="E22" s="31"/>
      <c r="F22" s="31"/>
      <c r="G22" s="31"/>
    </row>
    <row r="23" spans="2:7" ht="15.75" customHeight="1" x14ac:dyDescent="0.25">
      <c r="B23" s="778" t="s">
        <v>2331</v>
      </c>
      <c r="C23" s="780">
        <v>953</v>
      </c>
      <c r="D23" s="31"/>
      <c r="E23" s="31"/>
      <c r="F23" s="31"/>
      <c r="G23" s="31"/>
    </row>
    <row r="24" spans="2:7" ht="15.75" customHeight="1" x14ac:dyDescent="0.25">
      <c r="B24" s="778" t="s">
        <v>2332</v>
      </c>
      <c r="C24" s="780">
        <v>940</v>
      </c>
      <c r="D24" s="31"/>
      <c r="E24" s="31"/>
      <c r="F24" s="31"/>
      <c r="G24" s="31"/>
    </row>
    <row r="25" spans="2:7" ht="15.75" customHeight="1" x14ac:dyDescent="0.25">
      <c r="B25" s="778" t="s">
        <v>539</v>
      </c>
      <c r="C25" s="780">
        <v>550</v>
      </c>
      <c r="D25" s="31"/>
      <c r="E25" s="31"/>
      <c r="F25" s="31"/>
      <c r="G25" s="31"/>
    </row>
    <row r="26" spans="2:7" ht="15.75" customHeight="1" x14ac:dyDescent="0.25">
      <c r="B26" s="778" t="s">
        <v>542</v>
      </c>
      <c r="C26" s="780">
        <v>415</v>
      </c>
    </row>
    <row r="27" spans="2:7" ht="15.75" customHeight="1" x14ac:dyDescent="0.25">
      <c r="B27" s="778" t="s">
        <v>2333</v>
      </c>
      <c r="C27" s="780">
        <v>359</v>
      </c>
    </row>
    <row r="28" spans="2:7" ht="15.75" customHeight="1" x14ac:dyDescent="0.25">
      <c r="B28" s="778" t="s">
        <v>2334</v>
      </c>
      <c r="C28" s="780">
        <v>324</v>
      </c>
    </row>
    <row r="29" spans="2:7" ht="15.75" customHeight="1" x14ac:dyDescent="0.25">
      <c r="B29" s="778" t="s">
        <v>2335</v>
      </c>
      <c r="C29" s="780">
        <v>310</v>
      </c>
    </row>
    <row r="30" spans="2:7" ht="15.75" customHeight="1" x14ac:dyDescent="0.25">
      <c r="B30" s="778" t="s">
        <v>2336</v>
      </c>
      <c r="C30" s="780">
        <v>300</v>
      </c>
    </row>
    <row r="31" spans="2:7" ht="15.75" customHeight="1" x14ac:dyDescent="0.25">
      <c r="B31" s="778" t="s">
        <v>540</v>
      </c>
      <c r="C31" s="780">
        <v>290</v>
      </c>
    </row>
    <row r="32" spans="2:7" ht="15.75" customHeight="1" x14ac:dyDescent="0.25">
      <c r="B32" s="778" t="s">
        <v>2337</v>
      </c>
      <c r="C32" s="780">
        <v>290</v>
      </c>
    </row>
    <row r="33" spans="2:7" ht="15.75" customHeight="1" x14ac:dyDescent="0.25">
      <c r="B33" s="778" t="s">
        <v>2338</v>
      </c>
      <c r="C33" s="780">
        <v>280</v>
      </c>
    </row>
    <row r="34" spans="2:7" ht="15.75" customHeight="1" x14ac:dyDescent="0.25">
      <c r="B34" s="778" t="s">
        <v>543</v>
      </c>
      <c r="C34" s="780">
        <v>217</v>
      </c>
    </row>
    <row r="35" spans="2:7" ht="15.75" customHeight="1" x14ac:dyDescent="0.25">
      <c r="B35" s="778" t="s">
        <v>2339</v>
      </c>
      <c r="C35" s="780">
        <v>210</v>
      </c>
    </row>
    <row r="36" spans="2:7" ht="15.75" customHeight="1" x14ac:dyDescent="0.25">
      <c r="B36" s="778" t="s">
        <v>544</v>
      </c>
      <c r="C36" s="780">
        <v>193</v>
      </c>
    </row>
    <row r="37" spans="2:7" ht="15.75" customHeight="1" x14ac:dyDescent="0.25">
      <c r="B37" s="778" t="s">
        <v>2340</v>
      </c>
      <c r="C37" s="780">
        <v>182</v>
      </c>
    </row>
    <row r="38" spans="2:7" ht="15.75" customHeight="1" x14ac:dyDescent="0.25">
      <c r="B38" s="778" t="s">
        <v>546</v>
      </c>
      <c r="C38" s="780">
        <v>175</v>
      </c>
    </row>
    <row r="39" spans="2:7" ht="15.75" customHeight="1" x14ac:dyDescent="0.25">
      <c r="B39" s="778" t="s">
        <v>2341</v>
      </c>
      <c r="C39" s="780">
        <v>175</v>
      </c>
    </row>
    <row r="40" spans="2:7" ht="15.75" customHeight="1" x14ac:dyDescent="0.25">
      <c r="B40" s="778" t="s">
        <v>2342</v>
      </c>
      <c r="C40" s="780">
        <v>174</v>
      </c>
    </row>
    <row r="41" spans="2:7" ht="15.75" customHeight="1" x14ac:dyDescent="0.25">
      <c r="B41" s="778" t="s">
        <v>2343</v>
      </c>
      <c r="C41" s="780">
        <v>169</v>
      </c>
    </row>
    <row r="42" spans="2:7" ht="15.75" customHeight="1" x14ac:dyDescent="0.25">
      <c r="B42" s="778" t="s">
        <v>2344</v>
      </c>
      <c r="C42" s="780">
        <v>158</v>
      </c>
      <c r="D42" s="31"/>
      <c r="E42" s="31"/>
      <c r="F42" s="31"/>
      <c r="G42" s="31"/>
    </row>
    <row r="43" spans="2:7" ht="15.75" customHeight="1" x14ac:dyDescent="0.25">
      <c r="B43" s="778" t="s">
        <v>547</v>
      </c>
      <c r="C43" s="780">
        <v>154</v>
      </c>
      <c r="D43" s="31"/>
      <c r="E43" s="31"/>
      <c r="F43" s="31"/>
      <c r="G43" s="31"/>
    </row>
    <row r="44" spans="2:7" ht="15.75" customHeight="1" x14ac:dyDescent="0.25">
      <c r="B44" s="778" t="s">
        <v>2345</v>
      </c>
      <c r="C44" s="780">
        <v>134</v>
      </c>
      <c r="D44" s="31"/>
      <c r="E44" s="31"/>
      <c r="F44" s="31"/>
      <c r="G44" s="31"/>
    </row>
    <row r="45" spans="2:7" ht="15.75" customHeight="1" x14ac:dyDescent="0.25">
      <c r="B45" s="778" t="s">
        <v>545</v>
      </c>
      <c r="C45" s="780">
        <v>133</v>
      </c>
      <c r="D45" s="31"/>
      <c r="E45" s="31"/>
      <c r="F45" s="31"/>
      <c r="G45" s="31"/>
    </row>
    <row r="46" spans="2:7" ht="15.75" customHeight="1" x14ac:dyDescent="0.25">
      <c r="B46" s="778" t="s">
        <v>2346</v>
      </c>
      <c r="C46" s="780">
        <v>130</v>
      </c>
      <c r="D46" s="31"/>
      <c r="E46" s="31"/>
      <c r="F46" s="31"/>
      <c r="G46" s="31"/>
    </row>
    <row r="47" spans="2:7" ht="15.75" customHeight="1" x14ac:dyDescent="0.25">
      <c r="B47" s="778" t="s">
        <v>2347</v>
      </c>
      <c r="C47" s="780">
        <v>126</v>
      </c>
      <c r="D47" s="31"/>
      <c r="E47" s="31"/>
      <c r="F47" s="31"/>
      <c r="G47" s="31"/>
    </row>
    <row r="48" spans="2:7" ht="15.75" customHeight="1" x14ac:dyDescent="0.25">
      <c r="B48" s="778" t="s">
        <v>583</v>
      </c>
      <c r="C48" s="780">
        <v>126</v>
      </c>
      <c r="D48" s="31"/>
      <c r="E48" s="31"/>
      <c r="F48" s="31"/>
      <c r="G48" s="31"/>
    </row>
    <row r="49" spans="2:7" ht="15.75" customHeight="1" x14ac:dyDescent="0.25">
      <c r="B49" s="778" t="s">
        <v>2348</v>
      </c>
      <c r="C49" s="780">
        <v>126</v>
      </c>
      <c r="D49" s="31"/>
      <c r="E49" s="31"/>
      <c r="F49" s="31"/>
      <c r="G49" s="31"/>
    </row>
    <row r="50" spans="2:7" ht="15.75" customHeight="1" x14ac:dyDescent="0.25">
      <c r="B50" s="778" t="s">
        <v>2349</v>
      </c>
      <c r="C50" s="780">
        <v>124</v>
      </c>
      <c r="D50" s="31"/>
      <c r="E50" s="31"/>
      <c r="F50" s="31"/>
      <c r="G50" s="31"/>
    </row>
    <row r="51" spans="2:7" ht="15.75" customHeight="1" x14ac:dyDescent="0.25">
      <c r="B51" s="781" t="s">
        <v>548</v>
      </c>
      <c r="C51" s="782">
        <v>21091</v>
      </c>
      <c r="D51" s="31"/>
      <c r="E51" s="31"/>
      <c r="F51" s="31"/>
      <c r="G51" s="31"/>
    </row>
    <row r="52" spans="2:7" ht="15.75" customHeight="1" x14ac:dyDescent="0.25">
      <c r="B52" s="779" t="s">
        <v>45</v>
      </c>
      <c r="C52" s="780">
        <v>31296</v>
      </c>
      <c r="D52" s="31"/>
      <c r="E52" s="31"/>
      <c r="F52" s="31"/>
      <c r="G52" s="31"/>
    </row>
    <row r="53" spans="2:7" ht="15.75" customHeight="1" x14ac:dyDescent="0.25">
      <c r="B53" s="18" t="s">
        <v>528</v>
      </c>
      <c r="D53" s="31"/>
      <c r="E53" s="31"/>
      <c r="F53" s="31"/>
      <c r="G53" s="31"/>
    </row>
    <row r="54" spans="2:7" ht="15.75" customHeight="1" x14ac:dyDescent="0.25">
      <c r="B54" s="31"/>
      <c r="C54" s="31"/>
      <c r="D54" s="31"/>
      <c r="E54" s="31"/>
      <c r="F54" s="31"/>
      <c r="G54" s="31"/>
    </row>
    <row r="55" spans="2:7" ht="15.75" customHeight="1" x14ac:dyDescent="0.25">
      <c r="B55" s="31"/>
      <c r="C55" s="31"/>
      <c r="D55" s="31"/>
      <c r="E55" s="31"/>
      <c r="F55" s="31"/>
      <c r="G55" s="31"/>
    </row>
    <row r="56" spans="2:7" ht="15.75" customHeight="1" x14ac:dyDescent="0.25">
      <c r="B56" s="41" t="s">
        <v>2356</v>
      </c>
      <c r="C56" s="31"/>
      <c r="D56" s="31"/>
      <c r="E56" s="31"/>
      <c r="F56" s="31"/>
      <c r="G56" s="49"/>
    </row>
    <row r="57" spans="2:7" ht="15.75" customHeight="1" x14ac:dyDescent="0.25">
      <c r="B57" s="788" t="s">
        <v>147</v>
      </c>
      <c r="C57" s="789" t="s">
        <v>281</v>
      </c>
      <c r="D57" s="789" t="s">
        <v>522</v>
      </c>
      <c r="E57" s="789" t="s">
        <v>584</v>
      </c>
      <c r="F57" s="790" t="s">
        <v>2355</v>
      </c>
    </row>
    <row r="58" spans="2:7" ht="15.75" customHeight="1" x14ac:dyDescent="0.25">
      <c r="B58" s="787" t="s">
        <v>2351</v>
      </c>
      <c r="C58" s="784" t="s">
        <v>2352</v>
      </c>
      <c r="D58" s="784" t="s">
        <v>2314</v>
      </c>
      <c r="E58" s="784">
        <v>385</v>
      </c>
      <c r="F58" s="785">
        <v>2000</v>
      </c>
    </row>
    <row r="59" spans="2:7" ht="15.75" customHeight="1" x14ac:dyDescent="0.25">
      <c r="B59" s="787"/>
      <c r="C59" s="783"/>
      <c r="D59" s="784" t="s">
        <v>2325</v>
      </c>
      <c r="E59" s="784">
        <v>510</v>
      </c>
      <c r="F59" s="785">
        <v>48800.01</v>
      </c>
    </row>
    <row r="60" spans="2:7" ht="15.75" customHeight="1" x14ac:dyDescent="0.25">
      <c r="B60" s="787" t="s">
        <v>2353</v>
      </c>
      <c r="C60" s="784" t="s">
        <v>2352</v>
      </c>
      <c r="D60" s="784" t="s">
        <v>2323</v>
      </c>
      <c r="E60" s="784">
        <v>5</v>
      </c>
      <c r="F60" s="785">
        <v>48.7</v>
      </c>
    </row>
    <row r="61" spans="2:7" ht="15.75" customHeight="1" x14ac:dyDescent="0.25">
      <c r="B61" s="787"/>
      <c r="C61" s="783"/>
      <c r="D61" s="784" t="s">
        <v>2314</v>
      </c>
      <c r="E61" s="784">
        <v>6</v>
      </c>
      <c r="F61" s="785">
        <v>60</v>
      </c>
    </row>
    <row r="62" spans="2:7" ht="15.75" customHeight="1" x14ac:dyDescent="0.25">
      <c r="B62" s="787"/>
      <c r="C62" s="783"/>
      <c r="D62" s="784" t="s">
        <v>2316</v>
      </c>
      <c r="E62" s="784">
        <v>34</v>
      </c>
      <c r="F62" s="785">
        <v>303.88</v>
      </c>
    </row>
    <row r="63" spans="2:7" ht="15.75" customHeight="1" x14ac:dyDescent="0.25">
      <c r="B63" s="787" t="s">
        <v>1992</v>
      </c>
      <c r="C63" s="784" t="s">
        <v>2352</v>
      </c>
      <c r="D63" s="784" t="s">
        <v>2323</v>
      </c>
      <c r="E63" s="784">
        <v>5</v>
      </c>
      <c r="F63" s="785">
        <v>48.7</v>
      </c>
    </row>
    <row r="64" spans="2:7" ht="15.75" customHeight="1" x14ac:dyDescent="0.25">
      <c r="B64" s="786"/>
      <c r="C64" s="783"/>
      <c r="D64" s="784" t="s">
        <v>2314</v>
      </c>
      <c r="E64" s="784">
        <v>5</v>
      </c>
      <c r="F64" s="785">
        <v>50</v>
      </c>
    </row>
    <row r="65" spans="2:8" ht="15.75" customHeight="1" x14ac:dyDescent="0.25">
      <c r="B65" s="786"/>
      <c r="C65" s="783"/>
      <c r="D65" s="784" t="s">
        <v>2316</v>
      </c>
      <c r="E65" s="784">
        <v>33</v>
      </c>
      <c r="F65" s="785">
        <v>302.88</v>
      </c>
    </row>
    <row r="66" spans="2:8" ht="15.75" customHeight="1" x14ac:dyDescent="0.25">
      <c r="B66" s="791" t="s">
        <v>2354</v>
      </c>
      <c r="C66" s="791"/>
      <c r="D66" s="791"/>
      <c r="E66" s="792">
        <v>983</v>
      </c>
      <c r="F66" s="793">
        <v>51614.169999999991</v>
      </c>
      <c r="G66" s="31"/>
    </row>
    <row r="69" spans="2:8" ht="15.75" customHeight="1" x14ac:dyDescent="0.25">
      <c r="B69" s="41" t="s">
        <v>2365</v>
      </c>
      <c r="C69" s="31"/>
      <c r="D69" s="31"/>
      <c r="E69" s="31"/>
      <c r="F69" s="31"/>
      <c r="G69" s="49"/>
    </row>
    <row r="70" spans="2:8" ht="15.75" customHeight="1" x14ac:dyDescent="0.25">
      <c r="B70" s="788" t="s">
        <v>147</v>
      </c>
      <c r="C70" s="789" t="s">
        <v>281</v>
      </c>
      <c r="D70" s="789" t="s">
        <v>522</v>
      </c>
      <c r="E70" s="789" t="s">
        <v>2357</v>
      </c>
      <c r="F70" s="790" t="s">
        <v>550</v>
      </c>
      <c r="G70" s="790" t="s">
        <v>278</v>
      </c>
      <c r="H70" s="797" t="s">
        <v>2355</v>
      </c>
    </row>
    <row r="71" spans="2:8" ht="15.75" customHeight="1" x14ac:dyDescent="0.25">
      <c r="B71" s="795" t="s">
        <v>2088</v>
      </c>
      <c r="C71" s="795" t="s">
        <v>2358</v>
      </c>
      <c r="D71" s="795" t="s">
        <v>2359</v>
      </c>
      <c r="E71" s="795">
        <v>80</v>
      </c>
      <c r="F71" s="794"/>
      <c r="G71" s="794"/>
      <c r="H71" s="796">
        <v>34800</v>
      </c>
    </row>
    <row r="72" spans="2:8" ht="15.75" customHeight="1" x14ac:dyDescent="0.25">
      <c r="B72" s="794"/>
      <c r="C72" s="794"/>
      <c r="D72" s="795" t="s">
        <v>2314</v>
      </c>
      <c r="E72" s="795">
        <v>14</v>
      </c>
      <c r="F72" s="795">
        <v>0.03</v>
      </c>
      <c r="G72" s="794"/>
      <c r="H72" s="796">
        <v>6310</v>
      </c>
    </row>
    <row r="73" spans="2:8" ht="15.75" customHeight="1" x14ac:dyDescent="0.25">
      <c r="B73" s="794"/>
      <c r="C73" s="794"/>
      <c r="D73" s="795" t="s">
        <v>2312</v>
      </c>
      <c r="E73" s="795">
        <v>10</v>
      </c>
      <c r="F73" s="794"/>
      <c r="G73" s="794"/>
      <c r="H73" s="796">
        <v>4500</v>
      </c>
    </row>
    <row r="74" spans="2:8" ht="15.75" customHeight="1" x14ac:dyDescent="0.25">
      <c r="B74" s="794"/>
      <c r="C74" s="794"/>
      <c r="D74" s="795" t="s">
        <v>2360</v>
      </c>
      <c r="E74" s="795">
        <v>1</v>
      </c>
      <c r="F74" s="794"/>
      <c r="G74" s="794"/>
      <c r="H74" s="796">
        <v>410</v>
      </c>
    </row>
    <row r="75" spans="2:8" ht="15.75" customHeight="1" x14ac:dyDescent="0.25">
      <c r="B75" s="794"/>
      <c r="C75" s="794"/>
      <c r="D75" s="795" t="s">
        <v>2361</v>
      </c>
      <c r="E75" s="795">
        <v>20</v>
      </c>
      <c r="F75" s="794"/>
      <c r="G75" s="794"/>
      <c r="H75" s="796">
        <v>9000</v>
      </c>
    </row>
    <row r="76" spans="2:8" ht="15.75" customHeight="1" x14ac:dyDescent="0.25">
      <c r="B76" s="794"/>
      <c r="C76" s="794"/>
      <c r="D76" s="795" t="s">
        <v>2316</v>
      </c>
      <c r="E76" s="795">
        <v>25</v>
      </c>
      <c r="F76" s="795">
        <v>17</v>
      </c>
      <c r="G76" s="794"/>
      <c r="H76" s="796">
        <v>18150</v>
      </c>
    </row>
    <row r="77" spans="2:8" ht="15.75" customHeight="1" x14ac:dyDescent="0.25">
      <c r="B77" s="794"/>
      <c r="C77" s="794"/>
      <c r="D77" s="795" t="s">
        <v>2362</v>
      </c>
      <c r="E77" s="795">
        <v>240</v>
      </c>
      <c r="F77" s="794"/>
      <c r="G77" s="794"/>
      <c r="H77" s="796">
        <v>120000</v>
      </c>
    </row>
    <row r="78" spans="2:8" ht="15" customHeight="1" x14ac:dyDescent="0.25">
      <c r="B78" s="794"/>
      <c r="C78" s="794"/>
      <c r="D78" s="795" t="s">
        <v>2363</v>
      </c>
      <c r="E78" s="795">
        <v>80</v>
      </c>
      <c r="F78" s="794"/>
      <c r="G78" s="794"/>
      <c r="H78" s="796">
        <v>37824</v>
      </c>
    </row>
    <row r="79" spans="2:8" ht="15" customHeight="1" x14ac:dyDescent="0.25">
      <c r="B79" s="794"/>
      <c r="C79" s="795" t="s">
        <v>2364</v>
      </c>
      <c r="D79" s="795" t="s">
        <v>2323</v>
      </c>
      <c r="E79" s="795">
        <v>0.02</v>
      </c>
      <c r="F79" s="794"/>
      <c r="G79" s="794"/>
      <c r="H79" s="796">
        <v>0</v>
      </c>
    </row>
    <row r="80" spans="2:8" ht="15" customHeight="1" x14ac:dyDescent="0.25">
      <c r="B80" s="794"/>
      <c r="C80" s="794"/>
      <c r="D80" s="795" t="s">
        <v>2362</v>
      </c>
      <c r="E80" s="794"/>
      <c r="F80" s="794"/>
      <c r="G80" s="795">
        <v>14</v>
      </c>
      <c r="H80" s="796">
        <v>0</v>
      </c>
    </row>
    <row r="81" spans="2:8" ht="15" customHeight="1" x14ac:dyDescent="0.25">
      <c r="B81" s="791" t="s">
        <v>2354</v>
      </c>
      <c r="C81" s="791"/>
      <c r="D81" s="791"/>
      <c r="E81" s="792">
        <v>470.02</v>
      </c>
      <c r="F81" s="792">
        <v>17.03</v>
      </c>
      <c r="G81" s="792">
        <v>14</v>
      </c>
      <c r="H81" s="793">
        <v>230994</v>
      </c>
    </row>
  </sheetData>
  <hyperlinks>
    <hyperlink ref="A1" location="INDICE!A1" display="(Ir al Índice)" xr:uid="{CE0A8464-9CA0-4DEF-9AB5-D9D9697F15D1}"/>
  </hyperlink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21</vt:i4>
      </vt:variant>
    </vt:vector>
  </HeadingPairs>
  <TitlesOfParts>
    <vt:vector size="54" baseType="lpstr">
      <vt:lpstr>INDICE</vt:lpstr>
      <vt:lpstr>Tabla1-4 TH</vt:lpstr>
      <vt:lpstr>Tabla5-6_LicenciasCD</vt:lpstr>
      <vt:lpstr>Tabla7-9_AutCD</vt:lpstr>
      <vt:lpstr>Tabla10-11_AutInvest</vt:lpstr>
      <vt:lpstr>Tabla12_CTP</vt:lpstr>
      <vt:lpstr>Tabla13_Depósitos</vt:lpstr>
      <vt:lpstr>Tabla14-16_Transferencias</vt:lpstr>
      <vt:lpstr>Tabla17-20_PAS Fauna</vt:lpstr>
      <vt:lpstr>Tabla21-23_Plantaciones</vt:lpstr>
      <vt:lpstr>Tabla24_Regentes</vt:lpstr>
      <vt:lpstr>Tabla25_RNI</vt:lpstr>
      <vt:lpstr>Tabla26_Centros de propagacion</vt:lpstr>
      <vt:lpstr>Tabla27-28_ProdMadRoll</vt:lpstr>
      <vt:lpstr>Tabla29-30_ProdMadAs</vt:lpstr>
      <vt:lpstr>Tabla31_Durmientes</vt:lpstr>
      <vt:lpstr>Tabla32_Parquet</vt:lpstr>
      <vt:lpstr>Tabla33_MadLaminada</vt:lpstr>
      <vt:lpstr>Tabla34_Leña</vt:lpstr>
      <vt:lpstr>Tabla35_Carbón</vt:lpstr>
      <vt:lpstr>Tabla36-37_PFDM</vt:lpstr>
      <vt:lpstr>Tabla38-39_DEMA CSS</vt:lpstr>
      <vt:lpstr>Tabla40-44_CapturayEsquila</vt:lpstr>
      <vt:lpstr>Tabla45_CazaFurtiva</vt:lpstr>
      <vt:lpstr>Tabla46-47_Exportación_FoMad</vt:lpstr>
      <vt:lpstr>Tabla48-49_ImportaciónForMad</vt:lpstr>
      <vt:lpstr>Tabla50-51_ExportaciónPFDM</vt:lpstr>
      <vt:lpstr>Tabla52-53_ImportacionPFDM</vt:lpstr>
      <vt:lpstr>Tabla54_BALANZA COMERCIAL</vt:lpstr>
      <vt:lpstr>Tabla55_56ExportaciónFauna</vt:lpstr>
      <vt:lpstr>Tabla57-59_ExportCITES_vicuña</vt:lpstr>
      <vt:lpstr>Tabla60_ExportCITES_Mad</vt:lpstr>
      <vt:lpstr>Tabla61-64_ExportCITES_PFDM</vt:lpstr>
      <vt:lpstr>'Tabla5-6_LicenciasCD'!_Toc155600074</vt:lpstr>
      <vt:lpstr>'Tabla7-9_AutCD'!_Toc155600076</vt:lpstr>
      <vt:lpstr>'Tabla10-11_AutInvest'!_Toc155600077</vt:lpstr>
      <vt:lpstr>'Tabla10-11_AutInvest'!_Toc155600078</vt:lpstr>
      <vt:lpstr>'Tabla10-11_AutInvest'!_Toc155600079</vt:lpstr>
      <vt:lpstr>Tabla12_CTP!_Toc155600080</vt:lpstr>
      <vt:lpstr>Tabla13_Depósitos!_Toc155600081</vt:lpstr>
      <vt:lpstr>'Tabla17-20_PAS Fauna'!_Toc155600082</vt:lpstr>
      <vt:lpstr>'Tabla17-20_PAS Fauna'!_Toc155600083</vt:lpstr>
      <vt:lpstr>'Tabla21-23_Plantaciones'!_Toc155600084</vt:lpstr>
      <vt:lpstr>'Tabla26_Centros de propagacion'!_Toc155600085</vt:lpstr>
      <vt:lpstr>'Tabla29-30_ProdMadAs'!_Toc155600086</vt:lpstr>
      <vt:lpstr>'Tabla29-30_ProdMadAs'!_Toc155600087</vt:lpstr>
      <vt:lpstr>'Tabla38-39_DEMA CSS'!_Toc155600092</vt:lpstr>
      <vt:lpstr>'Tabla40-44_CapturayEsquila'!_Toc155600093</vt:lpstr>
      <vt:lpstr>'Tabla40-44_CapturayEsquila'!_Toc155600094</vt:lpstr>
      <vt:lpstr>Tabla45_CazaFurtiva!_Toc155600095</vt:lpstr>
      <vt:lpstr>Tabla60_ExportCITES_Mad!_Toc155600101</vt:lpstr>
      <vt:lpstr>'Tabla61-64_ExportCITES_PFDM'!_Toc155600102</vt:lpstr>
      <vt:lpstr>Tabla13_CTP_A1</vt:lpstr>
      <vt:lpstr>Tabla13_Depósitos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Vasquez Vizarreta</dc:creator>
  <cp:lastModifiedBy>Lena Melendez Huerta</cp:lastModifiedBy>
  <dcterms:created xsi:type="dcterms:W3CDTF">2021-03-09T12:01:16Z</dcterms:created>
  <dcterms:modified xsi:type="dcterms:W3CDTF">2025-09-22T16:23:21Z</dcterms:modified>
</cp:coreProperties>
</file>